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3b0e05a63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ire" sheetId="1" r:id="R0094721725c94b2a"/>
    <x:sheet xmlns:r="http://schemas.openxmlformats.org/officeDocument/2006/relationships" name="Traçabilite" sheetId="2" r:id="R3aa90226246f4695"/>
    <x:sheet xmlns:r="http://schemas.openxmlformats.org/officeDocument/2006/relationships" name="Constats" sheetId="3" r:id="R6fea3b1debf14d87"/>
    <x:sheet xmlns:r="http://schemas.openxmlformats.org/officeDocument/2006/relationships" name="Controles" sheetId="4" r:id="R0ea907cd18494f7c"/>
    <x:sheet xmlns:r="http://schemas.openxmlformats.org/officeDocument/2006/relationships" name="CNAV_croisement" sheetId="5" r:id="R1c8772298b2c4de3"/>
    <x:sheet xmlns:r="http://schemas.openxmlformats.org/officeDocument/2006/relationships" name="Equations" sheetId="6" r:id="Rdc6769afe4904b12"/>
    <x:sheet xmlns:r="http://schemas.openxmlformats.org/officeDocument/2006/relationships" name="Synthese" sheetId="7" r:id="R613bb8549dac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00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sz val="10"/>
      <x:color rgb="FF243749"/>
      <x:name val="Carlito"/>
    </x:font>
    <x:font>
      <x:b/>
      <x:sz val="10"/>
      <x:color rgb="FFFFFFFF"/>
      <x:name val="Carlito"/>
    </x:font>
    <x:font>
      <x:sz val="11"/>
      <x:color rgb="FF243749"/>
      <x:name val="Carlito"/>
    </x:font>
    <x:font>
      <x:b/>
      <x:sz val="18"/>
      <x:color rgb="FFFFFFFF"/>
      <x:name val="Carlito"/>
    </x:font>
    <x:font>
      <x:b/>
      <x:sz val="24"/>
      <x:color rgb="FF146B6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9334C"/>
      </x:patternFill>
    </x:fill>
    <x:fill>
      <x:patternFill patternType="solid">
        <x:fgColor rgb="FFF2F5F8"/>
      </x:patternFill>
    </x:fill>
    <x:fill>
      <x:patternFill patternType="solid">
        <x:fgColor rgb="FF146B65"/>
      </x:patternFill>
    </x:fill>
    <x:fill>
      <x:patternFill patternType="solid">
        <x:fgColor rgb="FFE8F2F0"/>
      </x:patternFill>
    </x:fill>
    <x:fill>
      <x:patternFill patternType="solid">
        <x:fgColor rgb="FFFFF1D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200" fontId="7" fillId="6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200" fontId="5" fillId="0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FF1D5"/>
        </x:patternFill>
      </x:fill>
    </x:dxf>
    <x:dxf>
      <x:fill>
        <x:patternFill patternType="solid">
          <x:bgColor rgb="FFFFF1D5"/>
        </x:patternFill>
      </x:fill>
    </x:dxf>
    <x:dxf>
      <x:fill>
        <x:patternFill patternType="solid">
          <x:bgColor rgb="FFFADD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9a00c3f6f40c7" /><Relationship Type="http://schemas.openxmlformats.org/officeDocument/2006/relationships/theme" Target="/xl/theme/theme1.xml" Id="R79d94760cd7b4282" /><Relationship Type="http://schemas.openxmlformats.org/officeDocument/2006/relationships/sharedStrings" Target="/xl/sharedStrings.xml" Id="R277f01a8bbbd466d" /><Relationship Type="http://schemas.openxmlformats.org/officeDocument/2006/relationships/worksheet" Target="/xl/worksheets/sheet1.xml" Id="R0094721725c94b2a" /><Relationship Type="http://schemas.openxmlformats.org/officeDocument/2006/relationships/worksheet" Target="/xl/worksheets/sheet2.xml" Id="R3aa90226246f4695" /><Relationship Type="http://schemas.openxmlformats.org/officeDocument/2006/relationships/worksheet" Target="/xl/worksheets/sheet3.xml" Id="R6fea3b1debf14d87" /><Relationship Type="http://schemas.openxmlformats.org/officeDocument/2006/relationships/worksheet" Target="/xl/worksheets/sheet4.xml" Id="R0ea907cd18494f7c" /><Relationship Type="http://schemas.openxmlformats.org/officeDocument/2006/relationships/worksheet" Target="/xl/worksheets/sheet5.xml" Id="R1c8772298b2c4de3" /><Relationship Type="http://schemas.openxmlformats.org/officeDocument/2006/relationships/worksheet" Target="/xl/worksheets/sheet6.xml" Id="Rdc6769afe4904b12" /><Relationship Type="http://schemas.openxmlformats.org/officeDocument/2006/relationships/worksheet" Target="/xl/worksheets/sheet7.xml" Id="R613bb8549dac48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4" hidden="0" customWidth="1"/>
    <x:col min="3" max="3" width="15" hidden="0" customWidth="1"/>
    <x:col min="4" max="4" width="11" hidden="0" customWidth="1"/>
    <x:col min="5" max="5" width="38" hidden="0" customWidth="1"/>
    <x:col min="6" max="6" width="38" hidden="0" customWidth="1"/>
    <x:col min="7" max="7" width="40" hidden="0" customWidth="1"/>
    <x:col min="8" max="8" width="22" hidden="0" customWidth="1"/>
  </x:cols>
  <x:sheetData>
    <x:row r="1" ht="28" customHeight="1">
      <x:c r="A1" s="10" t="str">
        <x:v>Inventaire des fichiers conservés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 ht="36" customHeight="1">
      <x:c r="A3" s="12" t="str">
        <x:v>9 classeurs fournis. Empreintes de contenu, sans certification d’authenticité du producteur.</x:v>
      </x:c>
      <x:c r="B3" s="12"/>
      <x:c r="C3" s="12"/>
      <x:c r="D3" s="12"/>
      <x:c r="E3" s="12"/>
      <x:c r="F3" s="12"/>
      <x:c r="G3" s="12"/>
      <x:c r="H3" s="12"/>
    </x:row>
    <x:row r="4">
      <x:c r="A4"/>
      <x:c r="B4"/>
      <x:c r="C4"/>
      <x:c r="D4"/>
      <x:c r="E4"/>
      <x:c r="F4"/>
    </x:row>
    <x:row r="5" ht="32" customHeight="1">
      <x:c r="A5" s="14" t="str">
        <x:v>Institution</x:v>
      </x:c>
      <x:c r="B5" s="14" t="str">
        <x:v>Fichier dans le projet</x:v>
      </x:c>
      <x:c r="C5" s="14" t="str">
        <x:v>Taille (octets)</x:v>
      </x:c>
      <x:c r="D5" s="14" t="str">
        <x:v>Feuilles</x:v>
      </x:c>
      <x:c r="E5" s="14" t="str">
        <x:v>Utilisation</x:v>
      </x:c>
      <x:c r="F5" s="14" t="str">
        <x:v>SHA-256</x:v>
      </x:c>
      <x:c r="G5" s="14" t="str">
        <x:v>URL documentaire</x:v>
      </x:c>
      <x:c r="H5" s="14" t="str">
        <x:v>Intégrité</x:v>
      </x:c>
    </x:row>
    <x:row r="6" ht="82" customHeight="1">
      <x:c r="A6" s="16" t="str">
        <x:v>MEDEF</x:v>
      </x:c>
      <x:c r="B6" s="16" t="str">
        <x:v>data/MASTER_DATA_RETRAITES_V1.xlsx</x:v>
      </x:c>
      <x:c r="C6" s="17" t="n">
        <x:v>315882</x:v>
      </x:c>
      <x:c r="D6" s="17" t="n">
        <x:v>17</x:v>
      </x:c>
      <x:c r="E6" s="16" t="str">
        <x:v>Consolidation recue; donnees conservees</x:v>
      </x:c>
      <x:c r="F6" s="16" t="str">
        <x:v>47f238a978201005a6bdbc166374094609e620491fe7970bbc6ac957bdb89f46</x:v>
      </x:c>
      <x:c r="G6" s="16" t="str">
        <x:v>Consolidation interne</x:v>
      </x:c>
      <x:c r="H6" s="16" t="str">
        <x:v>Octets inchangés</x:v>
      </x:c>
    </x:row>
    <x:row r="7" ht="82" customHeight="1">
      <x:c r="A7" s="15" t="str">
        <x:v>COR</x:v>
      </x:c>
      <x:c r="B7" s="15" t="str">
        <x:v>data/sources/cor/Données_RA2026_P1.xlsx</x:v>
      </x:c>
      <x:c r="C7" s="18" t="n">
        <x:v>474303</x:v>
      </x:c>
      <x:c r="D7" s="18" t="n">
        <x:v>26</x:v>
      </x:c>
      <x:c r="E7" s="15" t="str">
        <x:v>Macro, activite et tableaux juridiques</x:v>
      </x:c>
      <x:c r="F7" s="15" t="str">
        <x:v>69a417b9e146447e82e4e7369f3e31d9f860f79e3a99d89f25e9e1fbc147b76a</x:v>
      </x:c>
      <x:c r="G7" s="15" t="str">
        <x:v>https://www.cor-retraites.fr/rapports-du-cor/rapport-annuel-cor-juin-2026-evolutions-perspectives-retraites-france</x:v>
      </x:c>
      <x:c r="H7" s="15" t="str">
        <x:v>Octets inchangés</x:v>
      </x:c>
    </x:row>
    <x:row r="8" ht="82" customHeight="1">
      <x:c r="A8" s="16" t="str">
        <x:v>COR</x:v>
      </x:c>
      <x:c r="B8" s="16" t="str">
        <x:v>data/sources/cor/Données_RA2026_P2.xlsx</x:v>
      </x:c>
      <x:c r="C8" s="17" t="n">
        <x:v>736733</x:v>
      </x:c>
      <x:c r="D8" s="17" t="n">
        <x:v>39</x:v>
      </x:c>
      <x:c r="E8" s="16" t="str">
        <x:v>Retraites, sensibilites et fourchettes</x:v>
      </x:c>
      <x:c r="F8" s="16" t="str">
        <x:v>0a05bb83be269c72b7148f9b396a36aad73d9d2fc3cb210ef39f6d48d69e33f6</x:v>
      </x:c>
      <x:c r="G8" s="16" t="str">
        <x:v>https://www.cor-retraites.fr/rapports-du-cor/rapport-annuel-cor-juin-2026-evolutions-perspectives-retraites-france</x:v>
      </x:c>
      <x:c r="H8" s="16" t="str">
        <x:v>Octets inchangés</x:v>
      </x:c>
    </x:row>
    <x:row r="9" ht="82" customHeight="1">
      <x:c r="A9" s="15" t="str">
        <x:v>DREES</x:v>
      </x:c>
      <x:c r="B9" s="15" t="str">
        <x:v>data/sources/drees/62 EACR diffusée Part 1 - version du 26 mai 2026.xlsx</x:v>
      </x:c>
      <x:c r="C9" s="18" t="n">
        <x:v>24070107</x:v>
      </x:c>
      <x:c r="D9" s="18" t="n">
        <x:v>6</x:v>
      </x:c>
      <x:c r="E9" s="15" t="str">
        <x:v>CNAV flux de liquidants 2024</x:v>
      </x:c>
      <x:c r="F9" s="15" t="str">
        <x:v>b286834e5da0dcc37888d68c8d41d1b3c76578db586c7f05072e8266c7fb3cbe</x:v>
      </x:c>
      <x:c r="G9" s="15" t="str">
        <x:v>https://data.drees.solidarites-sante.gouv.fr/explore/dataset/donnes_eacr/</x:v>
      </x:c>
      <x:c r="H9" s="15" t="str">
        <x:v>Octets inchangés</x:v>
      </x:c>
    </x:row>
    <x:row r="10" ht="82" customHeight="1">
      <x:c r="A10" s="16" t="str">
        <x:v>DREES</x:v>
      </x:c>
      <x:c r="B10" s="16" t="str">
        <x:v>data/sources/drees/62 EACR diffusée Part 2 - version du 26 mai 2026.xlsx</x:v>
      </x:c>
      <x:c r="C10" s="17" t="n">
        <x:v>15724957</x:v>
      </x:c>
      <x:c r="D10" s="17" t="n">
        <x:v>6</x:v>
      </x:c>
      <x:c r="E10" s="16" t="str">
        <x:v>CNAV conditions et croisement age / sexe / groupe</x:v>
      </x:c>
      <x:c r="F10" s="16" t="str">
        <x:v>d12f9f20c37ca4e5eedecb1f9607df23042d1140455ee35e3be16bbb057c2556</x:v>
      </x:c>
      <x:c r="G10" s="16" t="str">
        <x:v>https://data.drees.solidarites-sante.gouv.fr/explore/dataset/donnes_eacr/</x:v>
      </x:c>
      <x:c r="H10" s="16" t="str">
        <x:v>Octets inchangés</x:v>
      </x:c>
    </x:row>
    <x:row r="11" ht="82" customHeight="1">
      <x:c r="A11" s="15" t="str">
        <x:v>INSEE</x:v>
      </x:c>
      <x:c r="B11" s="15" t="str">
        <x:v>data/sources/insee/00_central.xlsx</x:v>
      </x:c>
      <x:c r="C11" s="18" t="n">
        <x:v>2450989</x:v>
      </x:c>
      <x:c r="D11" s="18" t="n">
        <x:v>18</x:v>
      </x:c>
      <x:c r="E11" s="15" t="str">
        <x:v>Population et EV65</x:v>
      </x:c>
      <x:c r="F11" s="15" t="str">
        <x:v>93ab1daf7c7b41cfde39010b684f357cb13d8ca0f8a7a4c0b2d28882b4c37326</x:v>
      </x:c>
      <x:c r="G11" s="15" t="str">
        <x:v>https://www.insee.fr/fr/statistiques/8990852</x:v>
      </x:c>
      <x:c r="H11" s="15" t="str">
        <x:v>Octets inchangés</x:v>
      </x:c>
    </x:row>
    <x:row r="12" ht="82" customHeight="1">
      <x:c r="A12" s="16" t="str">
        <x:v>INSEE</x:v>
      </x:c>
      <x:c r="B12" s="16" t="str">
        <x:v>data/sources/insee/EEC_CHOM01.xlsx</x:v>
      </x:c>
      <x:c r="C12" s="17" t="n">
        <x:v>7221</x:v>
      </x:c>
      <x:c r="D12" s="17" t="n">
        <x:v>2</x:v>
      </x:c>
      <x:c r="E12" s="16" t="str">
        <x:v>Chomage 2025 : controle arrondi</x:v>
      </x:c>
      <x:c r="F12" s="16" t="str">
        <x:v>a33c397b601456da9af4e24cddac499b33d5198dac3546cd5b73a229d19ccff1</x:v>
      </x:c>
      <x:c r="G12" s="16" t="str">
        <x:v>https://www.insee.fr/fr/statistiques/9012123</x:v>
      </x:c>
      <x:c r="H12" s="16" t="str">
        <x:v>Octets inchangés</x:v>
      </x:c>
    </x:row>
    <x:row r="13" ht="82" customHeight="1">
      <x:c r="A13" s="15" t="str">
        <x:v>INSEE</x:v>
      </x:c>
      <x:c r="B13" s="15" t="str">
        <x:v>data/sources/insee/EEC_PACT00.xlsx</x:v>
      </x:c>
      <x:c r="C13" s="18" t="n">
        <x:v>7208</x:v>
      </x:c>
      <x:c r="D13" s="18" t="n">
        <x:v>2</x:v>
      </x:c>
      <x:c r="E13" s="15" t="str">
        <x:v>Activite 2025</x:v>
      </x:c>
      <x:c r="F13" s="15" t="str">
        <x:v>76fbf3a76ec90a9757fc14a2cb74fcd650e3092ab341c74e3c3ba69f24b50676</x:v>
      </x:c>
      <x:c r="G13" s="15" t="str">
        <x:v>https://www.insee.fr/fr/statistiques/9012127</x:v>
      </x:c>
      <x:c r="H13" s="15" t="str">
        <x:v>Octets inchangés</x:v>
      </x:c>
    </x:row>
    <x:row r="14" ht="82" customHeight="1">
      <x:c r="A14" s="16" t="str">
        <x:v>INSEE</x:v>
      </x:c>
      <x:c r="B14" s="16" t="str">
        <x:v>data/sources/insee/EEC_PEMP01.xlsx</x:v>
      </x:c>
      <x:c r="C14" s="17" t="n">
        <x:v>7208</x:v>
      </x:c>
      <x:c r="D14" s="17" t="n">
        <x:v>2</x:v>
      </x:c>
      <x:c r="E14" s="16" t="str">
        <x:v>Emploi 2025</x:v>
      </x:c>
      <x:c r="F14" s="16" t="str">
        <x:v>2ccb05287cd1bd7fad4bd8e50835e402fb3e9b7a69f6550d850b37eec6efeefb</x:v>
      </x:c>
      <x:c r="G14" s="16" t="str">
        <x:v>https://www.insee.fr/fr/statistiques/9012125</x:v>
      </x:c>
      <x:c r="H14" s="16" t="str">
        <x:v>Octets inchangés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4" hidden="0" customWidth="1"/>
    <x:col min="3" max="3" width="26" hidden="0" customWidth="1"/>
    <x:col min="4" max="4" width="39" hidden="0" customWidth="1"/>
    <x:col min="5" max="5" width="37" hidden="0" customWidth="1"/>
    <x:col min="6" max="6" width="35" hidden="0" customWidth="1"/>
    <x:col min="7" max="7" width="46" hidden="0" customWidth="1"/>
  </x:cols>
  <x:sheetData>
    <x:row r="1" ht="28" customHeight="1">
      <x:c r="A1" s="10" t="str">
        <x:v>Traçabilité des 13 tables</x:v>
      </x:c>
      <x:c r="B1" s="10"/>
      <x:c r="C1" s="10"/>
      <x:c r="D1" s="10"/>
      <x:c r="E1" s="10"/>
      <x:c r="F1" s="10"/>
      <x:c r="G1" s="10"/>
    </x:row>
    <x:row r="2">
      <x:c r="A2" s="10"/>
      <x:c r="B2" s="10"/>
      <x:c r="C2" s="10"/>
      <x:c r="D2" s="10"/>
      <x:c r="E2" s="10"/>
      <x:c r="F2" s="10"/>
      <x:c r="G2" s="10"/>
    </x:row>
    <x:row r="3" ht="36" customHeight="1">
      <x:c r="A3" s="12" t="str">
        <x:v>Deux niveaux distincts : MASTER → Parquet et sources originales → MASTER. Aucun recalcul silencieux.</x:v>
      </x:c>
      <x:c r="B3" s="12"/>
      <x:c r="C3" s="12"/>
      <x:c r="D3" s="12"/>
      <x:c r="E3" s="12"/>
      <x:c r="F3" s="12"/>
      <x:c r="G3" s="12"/>
    </x:row>
    <x:row r="4">
      <x:c r="A4"/>
      <x:c r="B4"/>
      <x:c r="C4"/>
      <x:c r="D4"/>
      <x:c r="E4"/>
    </x:row>
    <x:row r="5" ht="32" customHeight="1">
      <x:c r="A5" s="14" t="str">
        <x:v>Table Parquet</x:v>
      </x:c>
      <x:c r="B5" s="14" t="str">
        <x:v>Feuille MASTER</x:v>
      </x:c>
      <x:c r="C5" s="14" t="str">
        <x:v>MASTER / Parquet</x:v>
      </x:c>
      <x:c r="D5" s="14" t="str">
        <x:v>Sources rapprochées</x:v>
      </x:c>
      <x:c r="E5" s="14" t="str">
        <x:v>Feuilles source</x:v>
      </x:c>
      <x:c r="F5" s="14" t="str">
        <x:v>Couverture du contrôle</x:v>
      </x:c>
      <x:c r="G5" s="14" t="str">
        <x:v>Limite / interprétation</x:v>
      </x:c>
    </x:row>
    <x:row r="6" ht="100" customHeight="1">
      <x:c r="A6" s="16" t="str">
        <x:v>demography.parquet</x:v>
      </x:c>
      <x:c r="B6" s="16" t="str">
        <x:v>DEMOGRAPHIE</x:v>
      </x:c>
      <x:c r="C6" s="16" t="str">
        <x:v>Toutes valeurs conformes</x:v>
      </x:c>
      <x:c r="D6" s="16" t="str">
        <x:v>00_central.xlsx</x:v>
      </x:c>
      <x:c r="E6" s="16" t="str">
        <x:v>populationF ; populationH</x:v>
      </x:c>
      <x:c r="F6" s="16" t="str">
        <x:v>Conforme aux contrôles décrits</x:v>
      </x:c>
      <x:c r="G6" s="16" t="str">
        <x:v>Détail variable / cellule dans Controles et cellules.csv.</x:v>
      </x:c>
    </x:row>
    <x:row r="7" ht="100" customHeight="1">
      <x:c r="A7" s="15" t="str">
        <x:v>life_expectancy_65.parquet</x:v>
      </x:c>
      <x:c r="B7" s="15" t="str">
        <x:v>EV65</x:v>
      </x:c>
      <x:c r="C7" s="15" t="str">
        <x:v>Toutes valeurs conformes</x:v>
      </x:c>
      <x:c r="D7" s="15" t="str">
        <x:v>00_central.xlsx</x:v>
      </x:c>
      <x:c r="E7" s="15" t="str">
        <x:v>hyp_mortaliteF ; hyp_mortaliteH ; populationF/H; hyp_mortaliteF/H</x:v>
      </x:c>
      <x:c r="F7" s="15" t="str">
        <x:v>Conforme aux contrôles décrits</x:v>
      </x:c>
      <x:c r="G7" s="15" t="str">
        <x:v>Détail variable / cellule dans Controles et cellules.csv.</x:v>
      </x:c>
    </x:row>
    <x:row r="8" ht="100" customHeight="1">
      <x:c r="A8" s="16" t="str">
        <x:v>activity_rates.parquet</x:v>
      </x:c>
      <x:c r="B8" s="16" t="str">
        <x:v>ACTIVITE_SENIORS</x:v>
      </x:c>
      <x:c r="C8" s="16" t="str">
        <x:v>Toutes valeurs conformes</x:v>
      </x:c>
      <x:c r="D8" s="16" t="str">
        <x:v>Données_RA2026_P1.xlsx</x:v>
      </x:c>
      <x:c r="E8" s="16" t="str">
        <x:v>Fig 1.8</x:v>
      </x:c>
      <x:c r="F8" s="16" t="str">
        <x:v>Partiel : original 2023 absent</x:v>
      </x:c>
      <x:c r="G8" s="16" t="str">
        <x:v>18 ancrages COR vérifiés. 414 taux INSEE 2023 : comparaison au MASTER seulement.</x:v>
      </x:c>
    </x:row>
    <x:row r="9" ht="100" customHeight="1">
      <x:c r="A9" s="15" t="str">
        <x:v>labour_status_rates.parquet</x:v>
      </x:c>
      <x:c r="B9" s="15" t="str">
        <x:v>TRAVAIL_2025</x:v>
      </x:c>
      <x:c r="C9" s="15" t="str">
        <x:v>Toutes valeurs conformes</x:v>
      </x:c>
      <x:c r="D9" s="15" t="str">
        <x:v>EEC_PACT00.xlsx ; EEC_PEMP01.xlsx ; EEC_PACT00.xlsx + EEC_PEMP01.xlsx ; EEC_CHOM01.xlsx</x:v>
      </x:c>
      <x:c r="E9" s="15" t="str">
        <x:v>PACT00 ; PEMP01 ; PACT00 / PEMP01 ; CHOM01</x:v>
      </x:c>
      <x:c r="F9" s="15" t="str">
        <x:v>Conforme aux contrôles décrits</x:v>
      </x:c>
      <x:c r="G9" s="15" t="str">
        <x:v>Détail variable / cellule dans Controles et cellules.csv.</x:v>
      </x:c>
    </x:row>
    <x:row r="10" ht="100" customHeight="1">
      <x:c r="A10" s="16" t="str">
        <x:v>retirement_baseline.parquet</x:v>
      </x:c>
      <x:c r="B10" s="16" t="str">
        <x:v>COR_RETRAITE</x:v>
      </x:c>
      <x:c r="C10" s="16" t="str">
        <x:v>Toutes valeurs conformes</x:v>
      </x:c>
      <x:c r="D10" s="16" t="str">
        <x:v>Données_RA2026_P2.xlsx</x:v>
      </x:c>
      <x:c r="E10" s="16" t="str">
        <x:v>Fig 2.2 ; Fig 2.8 ; Fig 2.14 ; Fig 2.3 ; Fig 2.4 ; Fig 2.5</x:v>
      </x:c>
      <x:c r="F10" s="16" t="str">
        <x:v>Conforme aux contrôles décrits</x:v>
      </x:c>
      <x:c r="G10" s="16" t="str">
        <x:v>Copie conforme ; contradiction de métadonnées Fig 2.4 non résolue.</x:v>
      </x:c>
    </x:row>
    <x:row r="11" ht="100" customHeight="1">
      <x:c r="A11" s="15" t="str">
        <x:v>macro_baseline.parquet</x:v>
      </x:c>
      <x:c r="B11" s="15" t="str">
        <x:v>COR_MACRO</x:v>
      </x:c>
      <x:c r="C11" s="15" t="str">
        <x:v>Toutes valeurs conformes</x:v>
      </x:c>
      <x:c r="D11" s="15" t="str">
        <x:v>Données_RA2026_P1.xlsx</x:v>
      </x:c>
      <x:c r="E11" s="15" t="str">
        <x:v>Fig 1.10 ; Fig 1.11 ; Fig 1.12 ; Fig 1.6 ; Tab 1.1</x:v>
      </x:c>
      <x:c r="F11" s="15" t="str">
        <x:v>Conforme aux contrôles décrits</x:v>
      </x:c>
      <x:c r="G11" s="15" t="str">
        <x:v>Détail variable / cellule dans Controles et cellules.csv.</x:v>
      </x:c>
    </x:row>
    <x:row r="12" ht="100" customHeight="1">
      <x:c r="A12" s="16" t="str">
        <x:v>retirement_sensitivity_unemployment.parquet</x:v>
      </x:c>
      <x:c r="B12" s="16" t="str">
        <x:v>COR_SENSI_CHOM</x:v>
      </x:c>
      <x:c r="C12" s="16" t="str">
        <x:v>Toutes valeurs conformes</x:v>
      </x:c>
      <x:c r="D12" s="16" t="str">
        <x:v>Données_RA2026_P2.xlsx</x:v>
      </x:c>
      <x:c r="E12" s="16" t="str">
        <x:v>Fig 2.21</x:v>
      </x:c>
      <x:c r="F12" s="16" t="str">
        <x:v>Conforme aux contrôles décrits</x:v>
      </x:c>
      <x:c r="G12" s="16" t="str">
        <x:v>Détail variable / cellule dans Controles et cellules.csv.</x:v>
      </x:c>
    </x:row>
    <x:row r="13" ht="100" customHeight="1">
      <x:c r="A13" s="15" t="str">
        <x:v>retirement_sensitivity_productivity.parquet</x:v>
      </x:c>
      <x:c r="B13" s="15" t="str">
        <x:v>COR_SENSI_PROD</x:v>
      </x:c>
      <x:c r="C13" s="15" t="str">
        <x:v>Toutes valeurs conformes</x:v>
      </x:c>
      <x:c r="D13" s="15" t="str">
        <x:v>Données_RA2026_P2.xlsx</x:v>
      </x:c>
      <x:c r="E13" s="15" t="str">
        <x:v>Fig 2.22</x:v>
      </x:c>
      <x:c r="F13" s="15" t="str">
        <x:v>Conforme aux contrôles décrits</x:v>
      </x:c>
      <x:c r="G13" s="15" t="str">
        <x:v>Détail variable / cellule dans Controles et cellules.csv.</x:v>
      </x:c>
    </x:row>
    <x:row r="14" ht="100" customHeight="1">
      <x:c r="A14" s="16" t="str">
        <x:v>legal_aod_dar.parquet</x:v>
      </x:c>
      <x:c r="B14" s="16" t="str">
        <x:v>LEGAL_AOD_DAR</x:v>
      </x:c>
      <x:c r="C14" s="16" t="str">
        <x:v>Toutes valeurs conformes</x:v>
      </x:c>
      <x:c r="D14" s="16" t="str">
        <x:v>Données_RA2026_P1.xlsx</x:v>
      </x:c>
      <x:c r="E14" s="16" t="str">
        <x:v>Tab 1.4</x:v>
      </x:c>
      <x:c r="F14" s="16" t="str">
        <x:v>Conforme aux contrôles décrits</x:v>
      </x:c>
      <x:c r="G14" s="16" t="str">
        <x:v>Concordance aux tableaux COR fournis ; pas une revue juridique actualisée. Prolongement de la dernière règle.</x:v>
      </x:c>
    </x:row>
    <x:row r="15" ht="100" customHeight="1">
      <x:c r="A15" s="15" t="str">
        <x:v>legal_racl20.parquet</x:v>
      </x:c>
      <x:c r="B15" s="15" t="str">
        <x:v>LEGAL_RACL20</x:v>
      </x:c>
      <x:c r="C15" s="15" t="str">
        <x:v>Toutes valeurs conformes</x:v>
      </x:c>
      <x:c r="D15" s="15" t="str">
        <x:v>Données_RA2026_P1.xlsx</x:v>
      </x:c>
      <x:c r="E15" s="15" t="str">
        <x:v>Tab 1.5</x:v>
      </x:c>
      <x:c r="F15" s="15" t="str">
        <x:v>Conforme aux contrôles décrits</x:v>
      </x:c>
      <x:c r="G15" s="15" t="str">
        <x:v>Concordance aux tableaux COR fournis ; pas une revue juridique actualisée. Prolongement de la dernière règle.</x:v>
      </x:c>
    </x:row>
    <x:row r="16" ht="100" customHeight="1">
      <x:c r="A16" s="16" t="str">
        <x:v>liquidation_age_counts.parquet</x:v>
      </x:c>
      <x:c r="B16" s="16" t="str">
        <x:v>CNAV_LIQ_AGE</x:v>
      </x:c>
      <x:c r="C16" s="16" t="str">
        <x:v>Toutes valeurs conformes</x:v>
      </x:c>
      <x:c r="D16" s="16" t="str">
        <x:v>62 EACR diffusée Part 1 - version du 26 mai 2026.xlsx</x:v>
      </x:c>
      <x:c r="E16" s="16" t="str">
        <x:v>B-Liquidants</x:v>
      </x:c>
      <x:c r="F16" s="16" t="str">
        <x:v>Conforme aux contrôles décrits</x:v>
      </x:c>
      <x:c r="G16" s="16" t="str">
        <x:v>Classe &gt;70 préservée dans les données mais omise par le groupby numérique du modèle.</x:v>
      </x:c>
    </x:row>
    <x:row r="17" ht="100" customHeight="1">
      <x:c r="A17" s="15" t="str">
        <x:v>liquidation_groups.parquet</x:v>
      </x:c>
      <x:c r="B17" s="15" t="str">
        <x:v>CNAV_LIQ_GROUP</x:v>
      </x:c>
      <x:c r="C17" s="15" t="str">
        <x:v>Toutes valeurs conformes</x:v>
      </x:c>
      <x:c r="D17" s="15" t="str">
        <x:v>62 EACR diffusée Part 2 - version du 26 mai 2026.xlsx</x:v>
      </x:c>
      <x:c r="E17" s="15" t="str">
        <x:v>H-Conditions_liq</x:v>
      </x:c>
      <x:c r="F17" s="15" t="str">
        <x:v>Conforme aux contrôles décrits</x:v>
      </x:c>
      <x:c r="G17" s="15" t="str">
        <x:v>Détail variable / cellule dans Controles et cellules.csv.</x:v>
      </x:c>
    </x:row>
    <x:row r="18" ht="100" customHeight="1">
      <x:c r="A18" s="16" t="str">
        <x:v>institutional_benchmarks.parquet</x:v>
      </x:c>
      <x:c r="B18" s="16" t="str">
        <x:v>BENCH_COR_AOD1</x:v>
      </x:c>
      <x:c r="C18" s="16" t="str">
        <x:v>Toutes valeurs conformes</x:v>
      </x:c>
      <x:c r="D18" s="16" t="str">
        <x:v>Données_RA2026_P2.xlsx</x:v>
      </x:c>
      <x:c r="E18" s="16" t="str">
        <x:v>Tab 2.10</x:v>
      </x:c>
      <x:c r="F18" s="16" t="str">
        <x:v>Conforme aux contrôles décrits</x:v>
      </x:c>
      <x:c r="G18" s="16" t="str">
        <x:v>Détail variable / cellule dans Controles et cellules.csv.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65" hidden="0" customWidth="1"/>
    <x:col min="3" max="3" width="85" hidden="0" customWidth="1"/>
  </x:cols>
  <x:sheetData>
    <x:row r="1" ht="26" customHeight="1">
      <x:c r="A1" s="10" t="str">
        <x:v>Constats et décisions</x:v>
      </x:c>
      <x:c r="B1" s="10"/>
      <x:c r="C1" s="10"/>
    </x:row>
    <x:row r="2">
      <x:c r="A2" s="10"/>
      <x:c r="B2" s="10"/>
      <x:c r="C2" s="10"/>
    </x:row>
    <x:row r="3" ht="36" customHeight="1">
      <x:c r="A3" s="12" t="str">
        <x:v>Les corrections techniques ne valent pas approbation des hypothèses économiques.</x:v>
      </x:c>
      <x:c r="B3" s="12"/>
      <x:c r="C3" s="12"/>
    </x:row>
    <x:row r="4">
      <x:c r="A4"/>
      <x:c r="B4"/>
      <x:c r="C4"/>
    </x:row>
    <x:row r="5" ht="32" customHeight="1">
      <x:c r="A5" s="14" t="str">
        <x:v>Statut</x:v>
      </x:c>
      <x:c r="B5" s="14" t="str">
        <x:v>Constat</x:v>
      </x:c>
      <x:c r="C5" s="14" t="str">
        <x:v>Action / limite</x:v>
      </x:c>
    </x:row>
    <x:row r="6" ht="78" customHeight="1">
      <x:c r="A6" s="16" t="str">
        <x:v>Résolu</x:v>
      </x:c>
      <x:c r="B6" s="16" t="str">
        <x:v>MASTER valide dans le ZIP, 315 882 octets et 17 feuilles</x:v>
      </x:c>
      <x:c r="C6" s="16" t="str">
        <x:v>Aucune reconstruction nécessaire ; classeur conservé exactement.</x:v>
      </x:c>
    </x:row>
    <x:row r="7" ht="78" customHeight="1">
      <x:c r="A7" s="15" t="str">
        <x:v>Résolu</x:v>
      </x:c>
      <x:c r="B7" s="15" t="str">
        <x:v>13 Parquet disponibles et conformes au MASTER</x:v>
      </x:c>
      <x:c r="C7" s="15" t="str">
        <x:v>Contrôle de toutes les cellules, y compris valeurs manquantes.</x:v>
      </x:c>
    </x:row>
    <x:row r="8" ht="78" customHeight="1">
      <x:c r="A8" s="16" t="str">
        <x:v>Nouveau</x:v>
      </x:c>
      <x:c r="B8" s="16" t="str">
        <x:v>Croisement CNAV 2024 âge × sexe × motif disponible</x:v>
      </x:c>
      <x:c r="C8" s="16" t="str">
        <x:v>Extraction 144 lignes, marges vérifiées. Annexe non branchée dans le moteur.</x:v>
      </x:c>
    </x:row>
    <x:row r="9" ht="78" customHeight="1">
      <x:c r="A9" s="15" t="str">
        <x:v>À traiter</x:v>
      </x:c>
      <x:c r="B9" s="15" t="str">
        <x:v>15 581 liquidants F/H de plus de 70 ans absents des normalisations du prototype</x:v>
      </x:c>
      <x:c r="C9" s="15" t="str">
        <x:v>Conserver la classe ouverte ; ne pas l’assimiler à 70 ans.</x:v>
      </x:c>
    </x:row>
    <x:row r="10" ht="78" customHeight="1">
      <x:c r="A10" s="16" t="str">
        <x:v>À traiter</x:v>
      </x:c>
      <x:c r="B10" s="16" t="str">
        <x:v>Proxy 60–64 ans non conditionnel aux personnes avant liquidation</x:v>
      </x:c>
      <x:c r="C10" s="16" t="str">
        <x:v>Ne pas présenter ces statuts comme observés parmi les liquidants.</x:v>
      </x:c>
    </x:row>
    <x:row r="11" ht="78" customHeight="1">
      <x:c r="A11" s="15" t="str">
        <x:v>À traiter</x:v>
      </x:c>
      <x:c r="B11" s="15" t="str">
        <x:v>Incohérence de métadonnées COR Fig 2.4</x:v>
      </x:c>
      <x:c r="C11" s="15" t="str">
        <x:v>Vérifier le millésime et les hypothèses avant utilisation financière.</x:v>
      </x:c>
    </x:row>
    <x:row r="12" ht="78" customHeight="1">
      <x:c r="A12" s="16" t="str">
        <x:v>Manquant</x:v>
      </x:c>
      <x:c r="B12" s="16" t="str">
        <x:v>ECRT2023-E2.xlsx absent</x:v>
      </x:c>
      <x:c r="C12" s="16" t="str">
        <x:v>414 taux INSEE 2023 non confrontés au fichier original ; 18 ancrages COR contrôlés.</x:v>
      </x:c>
    </x:row>
    <x:row r="13" ht="78" customHeight="1">
      <x:c r="A13" s="15" t="str">
        <x:v>Corrigé</x:v>
      </x:c>
      <x:c r="B13" s="15" t="str">
        <x:v>Scénario sans réforme : calendriers vides perdaient leurs colonnes</x:v>
      </x:c>
      <x:c r="C13" s="15" t="str">
        <x:v>statu_quo + AOD identiques : 45 années à zéro, F/H conservés.</x:v>
      </x:c>
    </x:row>
    <x:row r="14" ht="78" customHeight="1">
      <x:c r="A14" s="16" t="str">
        <x:v>Prudence</x:v>
      </x:c>
      <x:c r="B14" s="16" t="str">
        <x:v>Facteur linéaire de maturité et concentration 62–63 → 64</x:v>
      </x:c>
      <x:c r="C14" s="16" t="str">
        <x:v>Hypothèses du prototype inchangées, pas validées par la concordance des fichiers.</x:v>
      </x:c>
    </x:row>
    <x:row r="15" ht="78" customHeight="1">
      <x:c r="A15" s="15" t="str">
        <x:v>À traiter</x:v>
      </x:c>
      <x:c r="B15" s="15" t="str">
        <x:v>Date d’effet de la nouvelle réforme absente du moteur</x:v>
      </x:c>
      <x:c r="C15" s="15" t="str">
        <x:v>La simulation historique commence en 2022 ; filtrer l’affichage ne règle pas ce point.</x:v>
      </x:c>
    </x:row>
    <x:row r="16" ht="78" customHeight="1">
      <x:c r="A16" s="16" t="str">
        <x:v>Limite</x:v>
      </x:c>
      <x:c r="B16" s="16" t="str">
        <x:v>CNAV n’est pas le champ tous régimes</x:v>
      </x:c>
      <x:c r="C16" s="16" t="str">
        <x:v>Ne pas convertir directement les effectifs et pensions CNAV en agrégats tous régimes.</x:v>
      </x:c>
    </x:row>
    <x:row r="17" ht="78" customHeight="1">
      <x:c r="A17" s="15" t="str">
        <x:v>Environnement</x:v>
      </x:c>
      <x:c r="B17" s="15" t="str">
        <x:v>Lecture native PyArrow indisponible dans l’environnement de travail ici</x:v>
      </x:c>
      <x:c r="C17" s="15" t="str">
        <x:v>121 tests natifs hors lecture Parquet ; suite de 164 rejouée avec adaptateur temporaire. Refaire les tests natifs sur la VM.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34" hidden="0" customWidth="1"/>
    <x:col min="3" max="3" width="36" hidden="0" customWidth="1"/>
    <x:col min="4" max="4" width="16" hidden="0" customWidth="1"/>
    <x:col min="5" max="5" width="16" hidden="0" customWidth="1"/>
    <x:col min="6" max="6" width="18" hidden="0" customWidth="1"/>
    <x:col min="7" max="7" width="19" hidden="0" customWidth="1"/>
    <x:col min="8" max="8" width="45" hidden="0" customWidth="1"/>
    <x:col min="9" max="9" width="28" hidden="0" customWidth="1"/>
    <x:col min="10" max="10" width="44" hidden="0" customWidth="1"/>
    <x:col min="11" max="11" width="68" hidden="0" customWidth="1"/>
  </x:cols>
  <x:sheetData>
    <x:row r="1">
      <x:c r="A1" s="10" t="str">
        <x:v>Résultats des 80 contrôles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36" customHeight="1">
      <x:c r="A3" s="12" t="str">
        <x:v>0 écart hors tolérances. Un contrôle de copie conforme peut conserver une alerte méthodologique.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5" ht="32" customHeight="1">
      <x:c r="A5" s="14" t="str">
        <x:v>ID contrôle</x:v>
      </x:c>
      <x:c r="B5" s="14" t="str">
        <x:v>Table</x:v>
      </x:c>
      <x:c r="C5" s="14" t="str">
        <x:v>Variable</x:v>
      </x:c>
      <x:c r="D5" s="14" t="str">
        <x:v>Statut</x:v>
      </x:c>
      <x:c r="E5" s="14" t="str">
        <x:v>Valeurs comparées</x:v>
      </x:c>
      <x:c r="F5" s="14" t="str">
        <x:v>Écarts hors tolérance</x:v>
      </x:c>
      <x:c r="G5" s="14" t="str">
        <x:v>Écart brut maximal</x:v>
      </x:c>
      <x:c r="H5" s="14" t="str">
        <x:v>Fichier source</x:v>
      </x:c>
      <x:c r="I5" s="14" t="str">
        <x:v>Feuille</x:v>
      </x:c>
      <x:c r="J5" s="14" t="str">
        <x:v>Transformation</x:v>
      </x:c>
      <x:c r="K5" s="14" t="str">
        <x:v>Tolérance / commentaire</x:v>
      </x:c>
    </x:row>
    <x:row r="6" ht="80" customHeight="1">
      <x:c r="A6" s="16" t="str">
        <x:v>MP_DEMOGRAPHIE</x:v>
      </x:c>
      <x:c r="B6" s="16" t="str">
        <x:v>demography.parquet</x:v>
      </x:c>
      <x:c r="C6" s="16" t="str">
        <x:v>toutes les colonnes</x:v>
      </x:c>
      <x:c r="D6" s="16" t="str">
        <x:v>CONFORME</x:v>
      </x:c>
      <x:c r="E6" s="17" t="n">
        <x:v>31648</x:v>
      </x:c>
      <x:c r="F6" s="17" t="n">
        <x:v>0</x:v>
      </x:c>
      <x:c r="G6" s="19" t="n">
        <x:v>0</x:v>
      </x:c>
      <x:c r="H6" s="16" t="str">
        <x:v>data/MASTER_DATA_RETRAITES_V1.xlsx</x:v>
      </x:c>
      <x:c r="I6" s="16" t="str">
        <x:v>DEMOGRAPHIE</x:v>
      </x:c>
      <x:c r="J6" s="16" t="str">
        <x:v>identite</x:v>
      </x:c>
      <x:c r="K6" s="16" t="str">
        <x:v>Valeurs comparees en ordre identique; types physiques non imposes; NaN controles.</x:v>
      </x:c>
    </x:row>
    <x:row r="7" ht="80" customHeight="1">
      <x:c r="A7" s="15" t="str">
        <x:v>MP_EV65</x:v>
      </x:c>
      <x:c r="B7" s="15" t="str">
        <x:v>life_expectancy_65.parquet</x:v>
      </x:c>
      <x:c r="C7" s="15" t="str">
        <x:v>toutes les colonnes</x:v>
      </x:c>
      <x:c r="D7" s="15" t="str">
        <x:v>CONFORME</x:v>
      </x:c>
      <x:c r="E7" s="18" t="n">
        <x:v>414</x:v>
      </x:c>
      <x:c r="F7" s="18" t="n">
        <x:v>0</x:v>
      </x:c>
      <x:c r="G7" s="20" t="n">
        <x:v>0</x:v>
      </x:c>
      <x:c r="H7" s="15" t="str">
        <x:v>data/MASTER_DATA_RETRAITES_V1.xlsx</x:v>
      </x:c>
      <x:c r="I7" s="15" t="str">
        <x:v>EV65</x:v>
      </x:c>
      <x:c r="J7" s="15" t="str">
        <x:v>identite</x:v>
      </x:c>
      <x:c r="K7" s="15" t="str">
        <x:v>Valeurs comparees en ordre identique; types physiques non imposes; NaN controles.</x:v>
      </x:c>
    </x:row>
    <x:row r="8" ht="80" customHeight="1">
      <x:c r="A8" s="16" t="str">
        <x:v>MP_ACTIVITE_SENIORS</x:v>
      </x:c>
      <x:c r="B8" s="16" t="str">
        <x:v>activity_rates.parquet</x:v>
      </x:c>
      <x:c r="C8" s="16" t="str">
        <x:v>toutes les colonnes</x:v>
      </x:c>
      <x:c r="D8" s="16" t="str">
        <x:v>CONFORME</x:v>
      </x:c>
      <x:c r="E8" s="17" t="n">
        <x:v>2070</x:v>
      </x:c>
      <x:c r="F8" s="17" t="n">
        <x:v>0</x:v>
      </x:c>
      <x:c r="G8" s="19" t="n">
        <x:v>0</x:v>
      </x:c>
      <x:c r="H8" s="16" t="str">
        <x:v>data/MASTER_DATA_RETRAITES_V1.xlsx</x:v>
      </x:c>
      <x:c r="I8" s="16" t="str">
        <x:v>ACTIVITE_SENIORS</x:v>
      </x:c>
      <x:c r="J8" s="16" t="str">
        <x:v>identite</x:v>
      </x:c>
      <x:c r="K8" s="16" t="str">
        <x:v>Valeurs comparees en ordre identique; types physiques non imposes; NaN controles.</x:v>
      </x:c>
    </x:row>
    <x:row r="9" ht="80" customHeight="1">
      <x:c r="A9" s="15" t="str">
        <x:v>MP_TRAVAIL_2025</x:v>
      </x:c>
      <x:c r="B9" s="15" t="str">
        <x:v>labour_status_rates.parquet</x:v>
      </x:c>
      <x:c r="C9" s="15" t="str">
        <x:v>toutes les colonnes</x:v>
      </x:c>
      <x:c r="D9" s="15" t="str">
        <x:v>CONFORME</x:v>
      </x:c>
      <x:c r="E9" s="18" t="n">
        <x:v>330</x:v>
      </x:c>
      <x:c r="F9" s="18" t="n">
        <x:v>0</x:v>
      </x:c>
      <x:c r="G9" s="20" t="n">
        <x:v>0</x:v>
      </x:c>
      <x:c r="H9" s="15" t="str">
        <x:v>data/MASTER_DATA_RETRAITES_V1.xlsx</x:v>
      </x:c>
      <x:c r="I9" s="15" t="str">
        <x:v>TRAVAIL_2025</x:v>
      </x:c>
      <x:c r="J9" s="15" t="str">
        <x:v>identite</x:v>
      </x:c>
      <x:c r="K9" s="15" t="str">
        <x:v>Valeurs comparees en ordre identique; types physiques non imposes; NaN controles.</x:v>
      </x:c>
    </x:row>
    <x:row r="10" ht="80" customHeight="1">
      <x:c r="A10" s="16" t="str">
        <x:v>MP_COR_RETRAITE</x:v>
      </x:c>
      <x:c r="B10" s="16" t="str">
        <x:v>retirement_baseline.parquet</x:v>
      </x:c>
      <x:c r="C10" s="16" t="str">
        <x:v>toutes les colonnes</x:v>
      </x:c>
      <x:c r="D10" s="16" t="str">
        <x:v>CONFORME</x:v>
      </x:c>
      <x:c r="E10" s="17" t="n">
        <x:v>414</x:v>
      </x:c>
      <x:c r="F10" s="17" t="n">
        <x:v>0</x:v>
      </x:c>
      <x:c r="G10" s="19" t="n">
        <x:v>0</x:v>
      </x:c>
      <x:c r="H10" s="16" t="str">
        <x:v>data/MASTER_DATA_RETRAITES_V1.xlsx</x:v>
      </x:c>
      <x:c r="I10" s="16" t="str">
        <x:v>COR_RETRAITE</x:v>
      </x:c>
      <x:c r="J10" s="16" t="str">
        <x:v>identite</x:v>
      </x:c>
      <x:c r="K10" s="16" t="str">
        <x:v>Valeurs comparees en ordre identique; types physiques non imposes; NaN controles.</x:v>
      </x:c>
    </x:row>
    <x:row r="11" ht="80" customHeight="1">
      <x:c r="A11" s="15" t="str">
        <x:v>MP_COR_MACRO</x:v>
      </x:c>
      <x:c r="B11" s="15" t="str">
        <x:v>macro_baseline.parquet</x:v>
      </x:c>
      <x:c r="C11" s="15" t="str">
        <x:v>toutes les colonnes</x:v>
      </x:c>
      <x:c r="D11" s="15" t="str">
        <x:v>CONFORME</x:v>
      </x:c>
      <x:c r="E11" s="18" t="n">
        <x:v>552</x:v>
      </x:c>
      <x:c r="F11" s="18" t="n">
        <x:v>0</x:v>
      </x:c>
      <x:c r="G11" s="20" t="n">
        <x:v>0</x:v>
      </x:c>
      <x:c r="H11" s="15" t="str">
        <x:v>data/MASTER_DATA_RETRAITES_V1.xlsx</x:v>
      </x:c>
      <x:c r="I11" s="15" t="str">
        <x:v>COR_MACRO</x:v>
      </x:c>
      <x:c r="J11" s="15" t="str">
        <x:v>identite</x:v>
      </x:c>
      <x:c r="K11" s="15" t="str">
        <x:v>Valeurs comparees en ordre identique; types physiques non imposes; NaN controles.</x:v>
      </x:c>
    </x:row>
    <x:row r="12" ht="80" customHeight="1">
      <x:c r="A12" s="16" t="str">
        <x:v>MP_COR_SENSI_CHOM</x:v>
      </x:c>
      <x:c r="B12" s="16" t="str">
        <x:v>retirement_sensitivity_unemployment.parquet</x:v>
      </x:c>
      <x:c r="C12" s="16" t="str">
        <x:v>toutes les colonnes</x:v>
      </x:c>
      <x:c r="D12" s="16" t="str">
        <x:v>CONFORME</x:v>
      </x:c>
      <x:c r="E12" s="17" t="n">
        <x:v>322</x:v>
      </x:c>
      <x:c r="F12" s="17" t="n">
        <x:v>0</x:v>
      </x:c>
      <x:c r="G12" s="19" t="n">
        <x:v>0</x:v>
      </x:c>
      <x:c r="H12" s="16" t="str">
        <x:v>data/MASTER_DATA_RETRAITES_V1.xlsx</x:v>
      </x:c>
      <x:c r="I12" s="16" t="str">
        <x:v>COR_SENSI_CHOM</x:v>
      </x:c>
      <x:c r="J12" s="16" t="str">
        <x:v>identite</x:v>
      </x:c>
      <x:c r="K12" s="16" t="str">
        <x:v>Valeurs comparees en ordre identique; types physiques non imposes; NaN controles.</x:v>
      </x:c>
    </x:row>
    <x:row r="13" ht="80" customHeight="1">
      <x:c r="A13" s="15" t="str">
        <x:v>MP_COR_SENSI_PROD</x:v>
      </x:c>
      <x:c r="B13" s="15" t="str">
        <x:v>retirement_sensitivity_productivity.parquet</x:v>
      </x:c>
      <x:c r="C13" s="15" t="str">
        <x:v>toutes les colonnes</x:v>
      </x:c>
      <x:c r="D13" s="15" t="str">
        <x:v>CONFORME</x:v>
      </x:c>
      <x:c r="E13" s="18" t="n">
        <x:v>322</x:v>
      </x:c>
      <x:c r="F13" s="18" t="n">
        <x:v>0</x:v>
      </x:c>
      <x:c r="G13" s="20" t="n">
        <x:v>0</x:v>
      </x:c>
      <x:c r="H13" s="15" t="str">
        <x:v>data/MASTER_DATA_RETRAITES_V1.xlsx</x:v>
      </x:c>
      <x:c r="I13" s="15" t="str">
        <x:v>COR_SENSI_PROD</x:v>
      </x:c>
      <x:c r="J13" s="15" t="str">
        <x:v>identite</x:v>
      </x:c>
      <x:c r="K13" s="15" t="str">
        <x:v>Valeurs comparees en ordre identique; types physiques non imposes; NaN controles.</x:v>
      </x:c>
    </x:row>
    <x:row r="14" ht="80" customHeight="1">
      <x:c r="A14" s="16" t="str">
        <x:v>MP_LEGAL_AOD_DAR</x:v>
      </x:c>
      <x:c r="B14" s="16" t="str">
        <x:v>legal_aod_dar.parquet</x:v>
      </x:c>
      <x:c r="C14" s="16" t="str">
        <x:v>toutes les colonnes</x:v>
      </x:c>
      <x:c r="D14" s="16" t="str">
        <x:v>CONFORME</x:v>
      </x:c>
      <x:c r="E14" s="17" t="n">
        <x:v>4896</x:v>
      </x:c>
      <x:c r="F14" s="17" t="n">
        <x:v>0</x:v>
      </x:c>
      <x:c r="G14" s="19" t="n">
        <x:v>0</x:v>
      </x:c>
      <x:c r="H14" s="16" t="str">
        <x:v>data/MASTER_DATA_RETRAITES_V1.xlsx</x:v>
      </x:c>
      <x:c r="I14" s="16" t="str">
        <x:v>LEGAL_AOD_DAR</x:v>
      </x:c>
      <x:c r="J14" s="16" t="str">
        <x:v>identite</x:v>
      </x:c>
      <x:c r="K14" s="16" t="str">
        <x:v>Valeurs comparees en ordre identique; types physiques non imposes; NaN controles.</x:v>
      </x:c>
    </x:row>
    <x:row r="15" ht="80" customHeight="1">
      <x:c r="A15" s="15" t="str">
        <x:v>MP_LEGAL_RACL20</x:v>
      </x:c>
      <x:c r="B15" s="15" t="str">
        <x:v>legal_racl20.parquet</x:v>
      </x:c>
      <x:c r="C15" s="15" t="str">
        <x:v>toutes les colonnes</x:v>
      </x:c>
      <x:c r="D15" s="15" t="str">
        <x:v>CONFORME</x:v>
      </x:c>
      <x:c r="E15" s="18" t="n">
        <x:v>3408</x:v>
      </x:c>
      <x:c r="F15" s="18" t="n">
        <x:v>0</x:v>
      </x:c>
      <x:c r="G15" s="20" t="n">
        <x:v>0</x:v>
      </x:c>
      <x:c r="H15" s="15" t="str">
        <x:v>data/MASTER_DATA_RETRAITES_V1.xlsx</x:v>
      </x:c>
      <x:c r="I15" s="15" t="str">
        <x:v>LEGAL_RACL20</x:v>
      </x:c>
      <x:c r="J15" s="15" t="str">
        <x:v>identite</x:v>
      </x:c>
      <x:c r="K15" s="15" t="str">
        <x:v>Valeurs comparees en ordre identique; types physiques non imposes; NaN controles.</x:v>
      </x:c>
    </x:row>
    <x:row r="16" ht="80" customHeight="1">
      <x:c r="A16" s="16" t="str">
        <x:v>MP_CNAV_LIQ_AGE</x:v>
      </x:c>
      <x:c r="B16" s="16" t="str">
        <x:v>liquidation_age_counts.parquet</x:v>
      </x:c>
      <x:c r="C16" s="16" t="str">
        <x:v>toutes les colonnes</x:v>
      </x:c>
      <x:c r="D16" s="16" t="str">
        <x:v>CONFORME</x:v>
      </x:c>
      <x:c r="E16" s="17" t="n">
        <x:v>255</x:v>
      </x:c>
      <x:c r="F16" s="17" t="n">
        <x:v>0</x:v>
      </x:c>
      <x:c r="G16" s="19" t="n">
        <x:v>0</x:v>
      </x:c>
      <x:c r="H16" s="16" t="str">
        <x:v>data/MASTER_DATA_RETRAITES_V1.xlsx</x:v>
      </x:c>
      <x:c r="I16" s="16" t="str">
        <x:v>CNAV_LIQ_AGE</x:v>
      </x:c>
      <x:c r="J16" s="16" t="str">
        <x:v>identite</x:v>
      </x:c>
      <x:c r="K16" s="16" t="str">
        <x:v>Valeurs comparees en ordre identique; types physiques non imposes; NaN controles.</x:v>
      </x:c>
    </x:row>
    <x:row r="17" ht="80" customHeight="1">
      <x:c r="A17" s="15" t="str">
        <x:v>MP_CNAV_LIQ_GROUP</x:v>
      </x:c>
      <x:c r="B17" s="15" t="str">
        <x:v>liquidation_groups.parquet</x:v>
      </x:c>
      <x:c r="C17" s="15" t="str">
        <x:v>toutes les colonnes</x:v>
      </x:c>
      <x:c r="D17" s="15" t="str">
        <x:v>CONFORME</x:v>
      </x:c>
      <x:c r="E17" s="18" t="n">
        <x:v>84</x:v>
      </x:c>
      <x:c r="F17" s="18" t="n">
        <x:v>0</x:v>
      </x:c>
      <x:c r="G17" s="20" t="n">
        <x:v>0</x:v>
      </x:c>
      <x:c r="H17" s="15" t="str">
        <x:v>data/MASTER_DATA_RETRAITES_V1.xlsx</x:v>
      </x:c>
      <x:c r="I17" s="15" t="str">
        <x:v>CNAV_LIQ_GROUP</x:v>
      </x:c>
      <x:c r="J17" s="15" t="str">
        <x:v>identite</x:v>
      </x:c>
      <x:c r="K17" s="15" t="str">
        <x:v>Valeurs comparees en ordre identique; types physiques non imposes; NaN controles.</x:v>
      </x:c>
    </x:row>
    <x:row r="18" ht="80" customHeight="1">
      <x:c r="A18" s="16" t="str">
        <x:v>MP_BENCH_COR_AOD1</x:v>
      </x:c>
      <x:c r="B18" s="16" t="str">
        <x:v>institutional_benchmarks.parquet</x:v>
      </x:c>
      <x:c r="C18" s="16" t="str">
        <x:v>toutes les colonnes</x:v>
      </x:c>
      <x:c r="D18" s="16" t="str">
        <x:v>CONFORME</x:v>
      </x:c>
      <x:c r="E18" s="17" t="n">
        <x:v>54</x:v>
      </x:c>
      <x:c r="F18" s="17" t="n">
        <x:v>0</x:v>
      </x:c>
      <x:c r="G18" s="19" t="n">
        <x:v>0</x:v>
      </x:c>
      <x:c r="H18" s="16" t="str">
        <x:v>data/MASTER_DATA_RETRAITES_V1.xlsx</x:v>
      </x:c>
      <x:c r="I18" s="16" t="str">
        <x:v>BENCH_COR_AOD1</x:v>
      </x:c>
      <x:c r="J18" s="16" t="str">
        <x:v>identite</x:v>
      </x:c>
      <x:c r="K18" s="16" t="str">
        <x:v>Valeurs comparees en ordre identique; types physiques non imposes; NaN controles.</x:v>
      </x:c>
    </x:row>
    <x:row r="19" ht="80" customHeight="1">
      <x:c r="A19" s="15" t="str">
        <x:v>SRC_DEMOG_F</x:v>
      </x:c>
      <x:c r="B19" s="15" t="str">
        <x:v>demography.parquet</x:v>
      </x:c>
      <x:c r="C19" s="15" t="str">
        <x:v>population</x:v>
      </x:c>
      <x:c r="D19" s="15" t="str">
        <x:v>CONFORME</x:v>
      </x:c>
      <x:c r="E19" s="18" t="n">
        <x:v>3956</x:v>
      </x:c>
      <x:c r="F19" s="18" t="n">
        <x:v>0</x:v>
      </x:c>
      <x:c r="G19" s="20" t="n">
        <x:v>0</x:v>
      </x:c>
      <x:c r="H19" s="15" t="str">
        <x:v>data/sources/insee/00_central.xlsx</x:v>
      </x:c>
      <x:c r="I19" s="15" t="str">
        <x:v>populationF</x:v>
      </x:c>
      <x:c r="J19" s="15" t="str">
        <x:v>identite</x:v>
      </x:c>
      <x:c r="K19" s="15" t="str">
        <x:v>Controle du perimetre present seulement; les 0-14 et 101+ ans ne figurent pas dans le MASTER.</x:v>
      </x:c>
    </x:row>
    <x:row r="20" ht="80" customHeight="1">
      <x:c r="A20" s="16" t="str">
        <x:v>SRC_DEMOG_H</x:v>
      </x:c>
      <x:c r="B20" s="16" t="str">
        <x:v>demography.parquet</x:v>
      </x:c>
      <x:c r="C20" s="16" t="str">
        <x:v>population</x:v>
      </x:c>
      <x:c r="D20" s="16" t="str">
        <x:v>CONFORME</x:v>
      </x:c>
      <x:c r="E20" s="17" t="n">
        <x:v>3956</x:v>
      </x:c>
      <x:c r="F20" s="17" t="n">
        <x:v>0</x:v>
      </x:c>
      <x:c r="G20" s="19" t="n">
        <x:v>0</x:v>
      </x:c>
      <x:c r="H20" s="16" t="str">
        <x:v>data/sources/insee/00_central.xlsx</x:v>
      </x:c>
      <x:c r="I20" s="16" t="str">
        <x:v>populationH</x:v>
      </x:c>
      <x:c r="J20" s="16" t="str">
        <x:v>identite</x:v>
      </x:c>
      <x:c r="K20" s="16" t="str">
        <x:v>Controle du perimetre present seulement; les 0-14 et 101+ ans ne figurent pas dans le MASTER.</x:v>
      </x:c>
    </x:row>
    <x:row r="21" ht="80" customHeight="1">
      <x:c r="A21" s="15" t="str">
        <x:v>SRC_EV65_F</x:v>
      </x:c>
      <x:c r="B21" s="15" t="str">
        <x:v>life_expectancy_65.parquet</x:v>
      </x:c>
      <x:c r="C21" s="15" t="str">
        <x:v>life_expectancy_65</x:v>
      </x:c>
      <x:c r="D21" s="15" t="str">
        <x:v>CONFORME</x:v>
      </x:c>
      <x:c r="E21" s="18" t="n">
        <x:v>46</x:v>
      </x:c>
      <x:c r="F21" s="18" t="n">
        <x:v>0</x:v>
      </x:c>
      <x:c r="G21" s="20" t="n">
        <x:v>0</x:v>
      </x:c>
      <x:c r="H21" s="15" t="str">
        <x:v>data/sources/insee/00_central.xlsx</x:v>
      </x:c>
      <x:c r="I21" s="15" t="str">
        <x:v>hyp_mortaliteF</x:v>
      </x:c>
      <x:c r="J21" s="15" t="str">
        <x:v>identite</x:v>
      </x:c>
      <x:c r="K21" s="15" t="str">
        <x:v>Esperance de vie de periode; pas esperance de vie par generation observee.</x:v>
      </x:c>
    </x:row>
    <x:row r="22" ht="80" customHeight="1">
      <x:c r="A22" s="16" t="str">
        <x:v>SRC_EV65_H</x:v>
      </x:c>
      <x:c r="B22" s="16" t="str">
        <x:v>life_expectancy_65.parquet</x:v>
      </x:c>
      <x:c r="C22" s="16" t="str">
        <x:v>life_expectancy_65</x:v>
      </x:c>
      <x:c r="D22" s="16" t="str">
        <x:v>CONFORME</x:v>
      </x:c>
      <x:c r="E22" s="17" t="n">
        <x:v>46</x:v>
      </x:c>
      <x:c r="F22" s="17" t="n">
        <x:v>0</x:v>
      </x:c>
      <x:c r="G22" s="19" t="n">
        <x:v>0</x:v>
      </x:c>
      <x:c r="H22" s="16" t="str">
        <x:v>data/sources/insee/00_central.xlsx</x:v>
      </x:c>
      <x:c r="I22" s="16" t="str">
        <x:v>hyp_mortaliteH</x:v>
      </x:c>
      <x:c r="J22" s="16" t="str">
        <x:v>identite</x:v>
      </x:c>
      <x:c r="K22" s="16" t="str">
        <x:v>Esperance de vie de periode; pas esperance de vie par generation observee.</x:v>
      </x:c>
    </x:row>
    <x:row r="23" ht="80" customHeight="1">
      <x:c r="A23" s="15" t="str">
        <x:v>DER_EV65_T</x:v>
      </x:c>
      <x:c r="B23" s="15" t="str">
        <x:v>life_expectancy_65.parquet</x:v>
      </x:c>
      <x:c r="C23" s="15" t="str">
        <x:v>life_expectancy_65</x:v>
      </x:c>
      <x:c r="D23" s="15" t="str">
        <x:v>CONFORME</x:v>
      </x:c>
      <x:c r="E23" s="18" t="n">
        <x:v>46</x:v>
      </x:c>
      <x:c r="F23" s="18" t="n">
        <x:v>0</x:v>
      </x:c>
      <x:c r="G23" s="20" t="n">
        <x:v>0</x:v>
      </x:c>
      <x:c r="H23" s="15" t="str">
        <x:v>data/sources/insee/00_central.xlsx</x:v>
      </x:c>
      <x:c r="I23" s="15" t="str">
        <x:v>populationF/H; hyp_mortaliteF/H</x:v>
      </x:c>
      <x:c r="J23" s="15" t="str">
        <x:v>moyenne ponderee par population a 65 ans</x:v>
      </x:c>
      <x:c r="K23" s="15" t="str"/>
    </x:row>
    <x:row r="24" ht="80" customHeight="1">
      <x:c r="A24" s="16" t="str">
        <x:v>SRC_COR_MACRO_productivity_growth_high</x:v>
      </x:c>
      <x:c r="B24" s="16" t="str">
        <x:v>macro_baseline.parquet</x:v>
      </x:c>
      <x:c r="C24" s="16" t="str">
        <x:v>productivity_growth_high</x:v>
      </x:c>
      <x:c r="D24" s="16" t="str">
        <x:v>CONFORME</x:v>
      </x:c>
      <x:c r="E24" s="17" t="n">
        <x:v>46</x:v>
      </x:c>
      <x:c r="F24" s="17" t="n">
        <x:v>0</x:v>
      </x:c>
      <x:c r="G24" s="19" t="n">
        <x:v>0</x:v>
      </x:c>
      <x:c r="H24" s="16" t="str">
        <x:v>data/sources/cor/Données_RA2026_P1.xlsx</x:v>
      </x:c>
      <x:c r="I24" s="16" t="str">
        <x:v>Fig 1.10</x:v>
      </x:c>
      <x:c r="J24" s="16" t="str">
        <x:v>identite</x:v>
      </x:c>
      <x:c r="K24" s="16" t="str">
        <x:v>La concordance de copie ne vaut pas validation des metadonnees; valeurs sources manquantes conservees.</x:v>
      </x:c>
    </x:row>
    <x:row r="25" ht="80" customHeight="1">
      <x:c r="A25" s="15" t="str">
        <x:v>SRC_COR_MACRO_productivity_growth_ref</x:v>
      </x:c>
      <x:c r="B25" s="15" t="str">
        <x:v>macro_baseline.parquet</x:v>
      </x:c>
      <x:c r="C25" s="15" t="str">
        <x:v>productivity_growth_ref</x:v>
      </x:c>
      <x:c r="D25" s="15" t="str">
        <x:v>CONFORME</x:v>
      </x:c>
      <x:c r="E25" s="18" t="n">
        <x:v>46</x:v>
      </x:c>
      <x:c r="F25" s="18" t="n">
        <x:v>0</x:v>
      </x:c>
      <x:c r="G25" s="20" t="n">
        <x:v>0</x:v>
      </x:c>
      <x:c r="H25" s="15" t="str">
        <x:v>data/sources/cor/Données_RA2026_P1.xlsx</x:v>
      </x:c>
      <x:c r="I25" s="15" t="str">
        <x:v>Fig 1.10</x:v>
      </x:c>
      <x:c r="J25" s="15" t="str">
        <x:v>identite</x:v>
      </x:c>
      <x:c r="K25" s="15" t="str">
        <x:v>La concordance de copie ne vaut pas validation des metadonnees; valeurs sources manquantes conservees.</x:v>
      </x:c>
    </x:row>
    <x:row r="26" ht="80" customHeight="1">
      <x:c r="A26" s="16" t="str">
        <x:v>SRC_COR_MACRO_productivity_growth_low</x:v>
      </x:c>
      <x:c r="B26" s="16" t="str">
        <x:v>macro_baseline.parquet</x:v>
      </x:c>
      <x:c r="C26" s="16" t="str">
        <x:v>productivity_growth_low</x:v>
      </x:c>
      <x:c r="D26" s="16" t="str">
        <x:v>CONFORME</x:v>
      </x:c>
      <x:c r="E26" s="17" t="n">
        <x:v>46</x:v>
      </x:c>
      <x:c r="F26" s="17" t="n">
        <x:v>0</x:v>
      </x:c>
      <x:c r="G26" s="19" t="n">
        <x:v>0</x:v>
      </x:c>
      <x:c r="H26" s="16" t="str">
        <x:v>data/sources/cor/Données_RA2026_P1.xlsx</x:v>
      </x:c>
      <x:c r="I26" s="16" t="str">
        <x:v>Fig 1.10</x:v>
      </x:c>
      <x:c r="J26" s="16" t="str">
        <x:v>identite</x:v>
      </x:c>
      <x:c r="K26" s="16" t="str">
        <x:v>La concordance de copie ne vaut pas validation des metadonnees; valeurs sources manquantes conservees.</x:v>
      </x:c>
    </x:row>
    <x:row r="27" ht="80" customHeight="1">
      <x:c r="A27" s="15" t="str">
        <x:v>SRC_COR_MACRO_unemployment_rate_ref</x:v>
      </x:c>
      <x:c r="B27" s="15" t="str">
        <x:v>macro_baseline.parquet</x:v>
      </x:c>
      <x:c r="C27" s="15" t="str">
        <x:v>unemployment_rate_ref</x:v>
      </x:c>
      <x:c r="D27" s="15" t="str">
        <x:v>CONFORME</x:v>
      </x:c>
      <x:c r="E27" s="18" t="n">
        <x:v>46</x:v>
      </x:c>
      <x:c r="F27" s="18" t="n">
        <x:v>0</x:v>
      </x:c>
      <x:c r="G27" s="20" t="n">
        <x:v>0</x:v>
      </x:c>
      <x:c r="H27" s="15" t="str">
        <x:v>data/sources/cor/Données_RA2026_P1.xlsx</x:v>
      </x:c>
      <x:c r="I27" s="15" t="str">
        <x:v>Fig 1.11</x:v>
      </x:c>
      <x:c r="J27" s="15" t="str">
        <x:v>identite</x:v>
      </x:c>
      <x:c r="K27" s="15" t="str">
        <x:v>La concordance de copie ne vaut pas validation des metadonnees; valeurs sources manquantes conservees.</x:v>
      </x:c>
    </x:row>
    <x:row r="28" ht="80" customHeight="1">
      <x:c r="A28" s="16" t="str">
        <x:v>SRC_COR_MACRO_unemployment_rate_low</x:v>
      </x:c>
      <x:c r="B28" s="16" t="str">
        <x:v>macro_baseline.parquet</x:v>
      </x:c>
      <x:c r="C28" s="16" t="str">
        <x:v>unemployment_rate_low</x:v>
      </x:c>
      <x:c r="D28" s="16" t="str">
        <x:v>CONFORME</x:v>
      </x:c>
      <x:c r="E28" s="17" t="n">
        <x:v>46</x:v>
      </x:c>
      <x:c r="F28" s="17" t="n">
        <x:v>0</x:v>
      </x:c>
      <x:c r="G28" s="19" t="n">
        <x:v>0</x:v>
      </x:c>
      <x:c r="H28" s="16" t="str">
        <x:v>data/sources/cor/Données_RA2026_P1.xlsx</x:v>
      </x:c>
      <x:c r="I28" s="16" t="str">
        <x:v>Fig 1.11</x:v>
      </x:c>
      <x:c r="J28" s="16" t="str">
        <x:v>identite</x:v>
      </x:c>
      <x:c r="K28" s="16" t="str">
        <x:v>La concordance de copie ne vaut pas validation des metadonnees; valeurs sources manquantes conservees.</x:v>
      </x:c>
    </x:row>
    <x:row r="29" ht="80" customHeight="1">
      <x:c r="A29" s="15" t="str">
        <x:v>SRC_COR_MACRO_unemployment_rate_high</x:v>
      </x:c>
      <x:c r="B29" s="15" t="str">
        <x:v>macro_baseline.parquet</x:v>
      </x:c>
      <x:c r="C29" s="15" t="str">
        <x:v>unemployment_rate_high</x:v>
      </x:c>
      <x:c r="D29" s="15" t="str">
        <x:v>CONFORME</x:v>
      </x:c>
      <x:c r="E29" s="18" t="n">
        <x:v>46</x:v>
      </x:c>
      <x:c r="F29" s="18" t="n">
        <x:v>0</x:v>
      </x:c>
      <x:c r="G29" s="20" t="n">
        <x:v>0</x:v>
      </x:c>
      <x:c r="H29" s="15" t="str">
        <x:v>data/sources/cor/Données_RA2026_P1.xlsx</x:v>
      </x:c>
      <x:c r="I29" s="15" t="str">
        <x:v>Fig 1.11</x:v>
      </x:c>
      <x:c r="J29" s="15" t="str">
        <x:v>identite</x:v>
      </x:c>
      <x:c r="K29" s="15" t="str">
        <x:v>La concordance de copie ne vaut pas validation des metadonnees; valeurs sources manquantes conservees.</x:v>
      </x:c>
    </x:row>
    <x:row r="30" ht="80" customHeight="1">
      <x:c r="A30" s="16" t="str">
        <x:v>SRC_COR_MACRO_employment_rate_ref</x:v>
      </x:c>
      <x:c r="B30" s="16" t="str">
        <x:v>macro_baseline.parquet</x:v>
      </x:c>
      <x:c r="C30" s="16" t="str">
        <x:v>employment_rate_ref</x:v>
      </x:c>
      <x:c r="D30" s="16" t="str">
        <x:v>CONFORME</x:v>
      </x:c>
      <x:c r="E30" s="17" t="n">
        <x:v>46</x:v>
      </x:c>
      <x:c r="F30" s="17" t="n">
        <x:v>0</x:v>
      </x:c>
      <x:c r="G30" s="19" t="n">
        <x:v>0</x:v>
      </x:c>
      <x:c r="H30" s="16" t="str">
        <x:v>data/sources/cor/Données_RA2026_P1.xlsx</x:v>
      </x:c>
      <x:c r="I30" s="16" t="str">
        <x:v>Fig 1.12</x:v>
      </x:c>
      <x:c r="J30" s="16" t="str">
        <x:v>identite</x:v>
      </x:c>
      <x:c r="K30" s="16" t="str">
        <x:v>La concordance de copie ne vaut pas validation des metadonnees; valeurs sources manquantes conservees.</x:v>
      </x:c>
    </x:row>
    <x:row r="31" ht="80" customHeight="1">
      <x:c r="A31" s="15" t="str">
        <x:v>SRC_COR_MACRO_employment_rate_u5</x:v>
      </x:c>
      <x:c r="B31" s="15" t="str">
        <x:v>macro_baseline.parquet</x:v>
      </x:c>
      <x:c r="C31" s="15" t="str">
        <x:v>employment_rate_u5</x:v>
      </x:c>
      <x:c r="D31" s="15" t="str">
        <x:v>CONFORME</x:v>
      </x:c>
      <x:c r="E31" s="18" t="n">
        <x:v>46</x:v>
      </x:c>
      <x:c r="F31" s="18" t="n">
        <x:v>0</x:v>
      </x:c>
      <x:c r="G31" s="20" t="n">
        <x:v>0</x:v>
      </x:c>
      <x:c r="H31" s="15" t="str">
        <x:v>data/sources/cor/Données_RA2026_P1.xlsx</x:v>
      </x:c>
      <x:c r="I31" s="15" t="str">
        <x:v>Fig 1.12</x:v>
      </x:c>
      <x:c r="J31" s="15" t="str">
        <x:v>identite</x:v>
      </x:c>
      <x:c r="K31" s="15" t="str">
        <x:v>La concordance de copie ne vaut pas validation des metadonnees; valeurs sources manquantes conservees.</x:v>
      </x:c>
    </x:row>
    <x:row r="32" ht="80" customHeight="1">
      <x:c r="A32" s="16" t="str">
        <x:v>SRC_COR_MACRO_employment_rate_u10</x:v>
      </x:c>
      <x:c r="B32" s="16" t="str">
        <x:v>macro_baseline.parquet</x:v>
      </x:c>
      <x:c r="C32" s="16" t="str">
        <x:v>employment_rate_u10</x:v>
      </x:c>
      <x:c r="D32" s="16" t="str">
        <x:v>CONFORME</x:v>
      </x:c>
      <x:c r="E32" s="17" t="n">
        <x:v>46</x:v>
      </x:c>
      <x:c r="F32" s="17" t="n">
        <x:v>0</x:v>
      </x:c>
      <x:c r="G32" s="19" t="n">
        <x:v>0</x:v>
      </x:c>
      <x:c r="H32" s="16" t="str">
        <x:v>data/sources/cor/Données_RA2026_P1.xlsx</x:v>
      </x:c>
      <x:c r="I32" s="16" t="str">
        <x:v>Fig 1.12</x:v>
      </x:c>
      <x:c r="J32" s="16" t="str">
        <x:v>identite</x:v>
      </x:c>
      <x:c r="K32" s="16" t="str">
        <x:v>La concordance de copie ne vaut pas validation des metadonnees; valeurs sources manquantes conservees.</x:v>
      </x:c>
    </x:row>
    <x:row r="33" ht="80" customHeight="1">
      <x:c r="A33" s="15" t="str">
        <x:v>SRC_COR_MACRO_active_population_growth_ref</x:v>
      </x:c>
      <x:c r="B33" s="15" t="str">
        <x:v>macro_baseline.parquet</x:v>
      </x:c>
      <x:c r="C33" s="15" t="str">
        <x:v>active_population_growth_ref</x:v>
      </x:c>
      <x:c r="D33" s="15" t="str">
        <x:v>CONFORME</x:v>
      </x:c>
      <x:c r="E33" s="18" t="n">
        <x:v>46</x:v>
      </x:c>
      <x:c r="F33" s="18" t="n">
        <x:v>0</x:v>
      </x:c>
      <x:c r="G33" s="20" t="n">
        <x:v>0</x:v>
      </x:c>
      <x:c r="H33" s="15" t="str">
        <x:v>data/sources/cor/Données_RA2026_P1.xlsx</x:v>
      </x:c>
      <x:c r="I33" s="15" t="str">
        <x:v>Fig 1.6</x:v>
      </x:c>
      <x:c r="J33" s="15" t="str">
        <x:v>identite</x:v>
      </x:c>
      <x:c r="K33" s="15" t="str">
        <x:v>La concordance de copie ne vaut pas validation des metadonnees; valeurs sources manquantes conservees.</x:v>
      </x:c>
    </x:row>
    <x:row r="34" ht="80" customHeight="1">
      <x:c r="A34" s="16" t="str">
        <x:v>SRC_COR_MACRO_real_gdp_growth_raa</x:v>
      </x:c>
      <x:c r="B34" s="16" t="str">
        <x:v>macro_baseline.parquet</x:v>
      </x:c>
      <x:c r="C34" s="16" t="str">
        <x:v>real_gdp_growth_raa</x:v>
      </x:c>
      <x:c r="D34" s="16" t="str">
        <x:v>CONFORME</x:v>
      </x:c>
      <x:c r="E34" s="17" t="n">
        <x:v>46</x:v>
      </x:c>
      <x:c r="F34" s="17" t="n">
        <x:v>0</x:v>
      </x:c>
      <x:c r="G34" s="19" t="n">
        <x:v>0</x:v>
      </x:c>
      <x:c r="H34" s="16" t="str">
        <x:v>data/sources/cor/Données_RA2026_P1.xlsx</x:v>
      </x:c>
      <x:c r="I34" s="16" t="str">
        <x:v>Tab 1.1</x:v>
      </x:c>
      <x:c r="J34" s="16" t="str">
        <x:v>identite</x:v>
      </x:c>
      <x:c r="K34" s="16" t="str">
        <x:v>La concordance de copie ne vaut pas validation des metadonnees; valeurs sources manquantes conservees.</x:v>
      </x:c>
    </x:row>
    <x:row r="35" ht="80" customHeight="1">
      <x:c r="A35" s="15" t="str">
        <x:v>SRC_COR_RETRAITE_pension_expenditure_pct_gdp</x:v>
      </x:c>
      <x:c r="B35" s="15" t="str">
        <x:v>retirement_baseline.parquet</x:v>
      </x:c>
      <x:c r="C35" s="15" t="str">
        <x:v>pension_expenditure_pct_gdp</x:v>
      </x:c>
      <x:c r="D35" s="15" t="str">
        <x:v>CONFORME</x:v>
      </x:c>
      <x:c r="E35" s="18" t="n">
        <x:v>46</x:v>
      </x:c>
      <x:c r="F35" s="18" t="n">
        <x:v>0</x:v>
      </x:c>
      <x:c r="G35" s="20" t="n">
        <x:v>0</x:v>
      </x:c>
      <x:c r="H35" s="15" t="str">
        <x:v>data/sources/cor/Données_RA2026_P2.xlsx</x:v>
      </x:c>
      <x:c r="I35" s="15" t="str">
        <x:v>Fig 2.2</x:v>
      </x:c>
      <x:c r="J35" s="15" t="str">
        <x:v>identite</x:v>
      </x:c>
      <x:c r="K35" s="15" t="str">
        <x:v>La concordance de copie ne vaut pas validation des metadonnees; valeurs sources manquantes conservees.</x:v>
      </x:c>
    </x:row>
    <x:row r="36" ht="80" customHeight="1">
      <x:c r="A36" s="16" t="str">
        <x:v>SRC_COR_RETRAITE_pension_resources_pct_gdp</x:v>
      </x:c>
      <x:c r="B36" s="16" t="str">
        <x:v>retirement_baseline.parquet</x:v>
      </x:c>
      <x:c r="C36" s="16" t="str">
        <x:v>pension_resources_pct_gdp</x:v>
      </x:c>
      <x:c r="D36" s="16" t="str">
        <x:v>CONFORME</x:v>
      </x:c>
      <x:c r="E36" s="17" t="n">
        <x:v>46</x:v>
      </x:c>
      <x:c r="F36" s="17" t="n">
        <x:v>0</x:v>
      </x:c>
      <x:c r="G36" s="19" t="n">
        <x:v>0</x:v>
      </x:c>
      <x:c r="H36" s="16" t="str">
        <x:v>data/sources/cor/Données_RA2026_P2.xlsx</x:v>
      </x:c>
      <x:c r="I36" s="16" t="str">
        <x:v>Fig 2.8</x:v>
      </x:c>
      <x:c r="J36" s="16" t="str">
        <x:v>identite</x:v>
      </x:c>
      <x:c r="K36" s="16" t="str">
        <x:v>La concordance de copie ne vaut pas validation des metadonnees; valeurs sources manquantes conservees.</x:v>
      </x:c>
    </x:row>
    <x:row r="37" ht="80" customHeight="1">
      <x:c r="A37" s="15" t="str">
        <x:v>SRC_COR_RETRAITE_pension_balance_pct_gdp</x:v>
      </x:c>
      <x:c r="B37" s="15" t="str">
        <x:v>retirement_baseline.parquet</x:v>
      </x:c>
      <x:c r="C37" s="15" t="str">
        <x:v>pension_balance_pct_gdp</x:v>
      </x:c>
      <x:c r="D37" s="15" t="str">
        <x:v>CONFORME</x:v>
      </x:c>
      <x:c r="E37" s="18" t="n">
        <x:v>46</x:v>
      </x:c>
      <x:c r="F37" s="18" t="n">
        <x:v>0</x:v>
      </x:c>
      <x:c r="G37" s="20" t="n">
        <x:v>0</x:v>
      </x:c>
      <x:c r="H37" s="15" t="str">
        <x:v>data/sources/cor/Données_RA2026_P2.xlsx</x:v>
      </x:c>
      <x:c r="I37" s="15" t="str">
        <x:v>Fig 2.14</x:v>
      </x:c>
      <x:c r="J37" s="15" t="str">
        <x:v>identite</x:v>
      </x:c>
      <x:c r="K37" s="15" t="str">
        <x:v>La concordance de copie ne vaut pas validation des metadonnees; valeurs sources manquantes conservees.</x:v>
      </x:c>
    </x:row>
    <x:row r="38" ht="80" customHeight="1">
      <x:c r="A38" s="16" t="str">
        <x:v>SRC_COR_RETRAITE_pension_relative_to_labour_income</x:v>
      </x:c>
      <x:c r="B38" s="16" t="str">
        <x:v>retirement_baseline.parquet</x:v>
      </x:c>
      <x:c r="C38" s="16" t="str">
        <x:v>pension_relative_to_labour_income</x:v>
      </x:c>
      <x:c r="D38" s="16" t="str">
        <x:v>CONFORME</x:v>
      </x:c>
      <x:c r="E38" s="17" t="n">
        <x:v>46</x:v>
      </x:c>
      <x:c r="F38" s="17" t="n">
        <x:v>0</x:v>
      </x:c>
      <x:c r="G38" s="19" t="n">
        <x:v>0</x:v>
      </x:c>
      <x:c r="H38" s="16" t="str">
        <x:v>data/sources/cor/Données_RA2026_P2.xlsx</x:v>
      </x:c>
      <x:c r="I38" s="16" t="str">
        <x:v>Fig 2.3</x:v>
      </x:c>
      <x:c r="J38" s="16" t="str">
        <x:v>identite</x:v>
      </x:c>
      <x:c r="K38" s="16" t="str">
        <x:v>La concordance de copie ne vaut pas validation des metadonnees; valeurs sources manquantes conservees.</x:v>
      </x:c>
    </x:row>
    <x:row r="39" ht="80" customHeight="1">
      <x:c r="A39" s="15" t="str">
        <x:v>SRC_COR_RETRAITE_contributors_per_retiree</x:v>
      </x:c>
      <x:c r="B39" s="15" t="str">
        <x:v>retirement_baseline.parquet</x:v>
      </x:c>
      <x:c r="C39" s="15" t="str">
        <x:v>contributors_per_retiree</x:v>
      </x:c>
      <x:c r="D39" s="15" t="str">
        <x:v>CONFORME</x:v>
      </x:c>
      <x:c r="E39" s="18" t="n">
        <x:v>46</x:v>
      </x:c>
      <x:c r="F39" s="18" t="n">
        <x:v>0</x:v>
      </x:c>
      <x:c r="G39" s="20" t="n">
        <x:v>0</x:v>
      </x:c>
      <x:c r="H39" s="15" t="str">
        <x:v>data/sources/cor/Données_RA2026_P2.xlsx</x:v>
      </x:c>
      <x:c r="I39" s="15" t="str">
        <x:v>Fig 2.3</x:v>
      </x:c>
      <x:c r="J39" s="15" t="str">
        <x:v>identite</x:v>
      </x:c>
      <x:c r="K39" s="15" t="str">
        <x:v>La concordance de copie ne vaut pas validation des metadonnees; valeurs sources manquantes conservees.</x:v>
      </x:c>
    </x:row>
    <x:row r="40" ht="80" customHeight="1">
      <x:c r="A40" s="16" t="str">
        <x:v>SRC_COR_RETRAITE_average_net_pension_eur2023</x:v>
      </x:c>
      <x:c r="B40" s="16" t="str">
        <x:v>retirement_baseline.parquet</x:v>
      </x:c>
      <x:c r="C40" s="16" t="str">
        <x:v>average_net_pension_eur2023</x:v>
      </x:c>
      <x:c r="D40" s="16" t="str">
        <x:v>CONFORME</x:v>
      </x:c>
      <x:c r="E40" s="17" t="n">
        <x:v>46</x:v>
      </x:c>
      <x:c r="F40" s="17" t="n">
        <x:v>0</x:v>
      </x:c>
      <x:c r="G40" s="19" t="n">
        <x:v>0</x:v>
      </x:c>
      <x:c r="H40" s="16" t="str">
        <x:v>data/sources/cor/Données_RA2026_P2.xlsx</x:v>
      </x:c>
      <x:c r="I40" s="16" t="str">
        <x:v>Fig 2.4</x:v>
      </x:c>
      <x:c r="J40" s="16" t="str">
        <x:v>identite</x:v>
      </x:c>
      <x:c r="K40" s="16" t="str">
        <x:v>La concordance de copie ne vaut pas validation des metadonnees; valeurs sources manquantes conservees.</x:v>
      </x:c>
    </x:row>
    <x:row r="41" ht="80" customHeight="1">
      <x:c r="A41" s="15" t="str">
        <x:v>SRC_COR_RETRAITE_average_net_contributor_income_eur2023</x:v>
      </x:c>
      <x:c r="B41" s="15" t="str">
        <x:v>retirement_baseline.parquet</x:v>
      </x:c>
      <x:c r="C41" s="15" t="str">
        <x:v>average_net_contributor_income_eur2023</x:v>
      </x:c>
      <x:c r="D41" s="15" t="str">
        <x:v>CONFORME</x:v>
      </x:c>
      <x:c r="E41" s="18" t="n">
        <x:v>46</x:v>
      </x:c>
      <x:c r="F41" s="18" t="n">
        <x:v>0</x:v>
      </x:c>
      <x:c r="G41" s="20" t="n">
        <x:v>0</x:v>
      </x:c>
      <x:c r="H41" s="15" t="str">
        <x:v>data/sources/cor/Données_RA2026_P2.xlsx</x:v>
      </x:c>
      <x:c r="I41" s="15" t="str">
        <x:v>Fig 2.4</x:v>
      </x:c>
      <x:c r="J41" s="15" t="str">
        <x:v>identite</x:v>
      </x:c>
      <x:c r="K41" s="15" t="str">
        <x:v>La concordance de copie ne vaut pas validation des metadonnees; valeurs sources manquantes conservees.</x:v>
      </x:c>
    </x:row>
    <x:row r="42" ht="80" customHeight="1">
      <x:c r="A42" s="16" t="str">
        <x:v>SRC_COR_RETRAITE_retirement_age_conj</x:v>
      </x:c>
      <x:c r="B42" s="16" t="str">
        <x:v>retirement_baseline.parquet</x:v>
      </x:c>
      <x:c r="C42" s="16" t="str">
        <x:v>retirement_age_conj</x:v>
      </x:c>
      <x:c r="D42" s="16" t="str">
        <x:v>CONFORME</x:v>
      </x:c>
      <x:c r="E42" s="17" t="n">
        <x:v>46</x:v>
      </x:c>
      <x:c r="F42" s="17" t="n">
        <x:v>0</x:v>
      </x:c>
      <x:c r="G42" s="19" t="n">
        <x:v>0</x:v>
      </x:c>
      <x:c r="H42" s="16" t="str">
        <x:v>data/sources/cor/Données_RA2026_P2.xlsx</x:v>
      </x:c>
      <x:c r="I42" s="16" t="str">
        <x:v>Fig 2.5</x:v>
      </x:c>
      <x:c r="J42" s="16" t="str">
        <x:v>identite</x:v>
      </x:c>
      <x:c r="K42" s="16" t="str">
        <x:v>La concordance de copie ne vaut pas validation des metadonnees; valeurs sources manquantes conservees.</x:v>
      </x:c>
    </x:row>
    <x:row r="43" ht="80" customHeight="1">
      <x:c r="A43" s="15" t="str">
        <x:v>SRC_COR_SENSI_CHOM_expenditure_ref</x:v>
      </x:c>
      <x:c r="B43" s="15" t="str">
        <x:v>retirement_sensitivity_unemployment.parquet</x:v>
      </x:c>
      <x:c r="C43" s="15" t="str">
        <x:v>expenditure_ref</x:v>
      </x:c>
      <x:c r="D43" s="15" t="str">
        <x:v>CONFORME</x:v>
      </x:c>
      <x:c r="E43" s="18" t="n">
        <x:v>46</x:v>
      </x:c>
      <x:c r="F43" s="18" t="n">
        <x:v>0</x:v>
      </x:c>
      <x:c r="G43" s="20" t="n">
        <x:v>0</x:v>
      </x:c>
      <x:c r="H43" s="15" t="str">
        <x:v>data/sources/cor/Données_RA2026_P2.xlsx</x:v>
      </x:c>
      <x:c r="I43" s="15" t="str">
        <x:v>Fig 2.21</x:v>
      </x:c>
      <x:c r="J43" s="15" t="str">
        <x:v>identite</x:v>
      </x:c>
      <x:c r="K43" s="15" t="str"/>
    </x:row>
    <x:row r="44" ht="80" customHeight="1">
      <x:c r="A44" s="16" t="str">
        <x:v>SRC_COR_SENSI_CHOM_expenditure_u5</x:v>
      </x:c>
      <x:c r="B44" s="16" t="str">
        <x:v>retirement_sensitivity_unemployment.parquet</x:v>
      </x:c>
      <x:c r="C44" s="16" t="str">
        <x:v>expenditure_u5</x:v>
      </x:c>
      <x:c r="D44" s="16" t="str">
        <x:v>CONFORME</x:v>
      </x:c>
      <x:c r="E44" s="17" t="n">
        <x:v>46</x:v>
      </x:c>
      <x:c r="F44" s="17" t="n">
        <x:v>0</x:v>
      </x:c>
      <x:c r="G44" s="19" t="n">
        <x:v>0</x:v>
      </x:c>
      <x:c r="H44" s="16" t="str">
        <x:v>data/sources/cor/Données_RA2026_P2.xlsx</x:v>
      </x:c>
      <x:c r="I44" s="16" t="str">
        <x:v>Fig 2.21</x:v>
      </x:c>
      <x:c r="J44" s="16" t="str">
        <x:v>identite</x:v>
      </x:c>
      <x:c r="K44" s="16" t="str"/>
    </x:row>
    <x:row r="45" ht="80" customHeight="1">
      <x:c r="A45" s="15" t="str">
        <x:v>SRC_COR_SENSI_CHOM_expenditure_u10</x:v>
      </x:c>
      <x:c r="B45" s="15" t="str">
        <x:v>retirement_sensitivity_unemployment.parquet</x:v>
      </x:c>
      <x:c r="C45" s="15" t="str">
        <x:v>expenditure_u10</x:v>
      </x:c>
      <x:c r="D45" s="15" t="str">
        <x:v>CONFORME</x:v>
      </x:c>
      <x:c r="E45" s="18" t="n">
        <x:v>46</x:v>
      </x:c>
      <x:c r="F45" s="18" t="n">
        <x:v>0</x:v>
      </x:c>
      <x:c r="G45" s="20" t="n">
        <x:v>0</x:v>
      </x:c>
      <x:c r="H45" s="15" t="str">
        <x:v>data/sources/cor/Données_RA2026_P2.xlsx</x:v>
      </x:c>
      <x:c r="I45" s="15" t="str">
        <x:v>Fig 2.21</x:v>
      </x:c>
      <x:c r="J45" s="15" t="str">
        <x:v>identite</x:v>
      </x:c>
      <x:c r="K45" s="15" t="str"/>
    </x:row>
    <x:row r="46" ht="80" customHeight="1">
      <x:c r="A46" s="16" t="str">
        <x:v>SRC_COR_SENSI_CHOM_balance_ref</x:v>
      </x:c>
      <x:c r="B46" s="16" t="str">
        <x:v>retirement_sensitivity_unemployment.parquet</x:v>
      </x:c>
      <x:c r="C46" s="16" t="str">
        <x:v>balance_ref</x:v>
      </x:c>
      <x:c r="D46" s="16" t="str">
        <x:v>CONFORME</x:v>
      </x:c>
      <x:c r="E46" s="17" t="n">
        <x:v>46</x:v>
      </x:c>
      <x:c r="F46" s="17" t="n">
        <x:v>0</x:v>
      </x:c>
      <x:c r="G46" s="19" t="n">
        <x:v>0</x:v>
      </x:c>
      <x:c r="H46" s="16" t="str">
        <x:v>data/sources/cor/Données_RA2026_P2.xlsx</x:v>
      </x:c>
      <x:c r="I46" s="16" t="str">
        <x:v>Fig 2.21</x:v>
      </x:c>
      <x:c r="J46" s="16" t="str">
        <x:v>identite</x:v>
      </x:c>
      <x:c r="K46" s="16" t="str"/>
    </x:row>
    <x:row r="47" ht="80" customHeight="1">
      <x:c r="A47" s="15" t="str">
        <x:v>SRC_COR_SENSI_CHOM_balance_u5</x:v>
      </x:c>
      <x:c r="B47" s="15" t="str">
        <x:v>retirement_sensitivity_unemployment.parquet</x:v>
      </x:c>
      <x:c r="C47" s="15" t="str">
        <x:v>balance_u5</x:v>
      </x:c>
      <x:c r="D47" s="15" t="str">
        <x:v>CONFORME</x:v>
      </x:c>
      <x:c r="E47" s="18" t="n">
        <x:v>46</x:v>
      </x:c>
      <x:c r="F47" s="18" t="n">
        <x:v>0</x:v>
      </x:c>
      <x:c r="G47" s="20" t="n">
        <x:v>0</x:v>
      </x:c>
      <x:c r="H47" s="15" t="str">
        <x:v>data/sources/cor/Données_RA2026_P2.xlsx</x:v>
      </x:c>
      <x:c r="I47" s="15" t="str">
        <x:v>Fig 2.21</x:v>
      </x:c>
      <x:c r="J47" s="15" t="str">
        <x:v>identite</x:v>
      </x:c>
      <x:c r="K47" s="15" t="str"/>
    </x:row>
    <x:row r="48" ht="80" customHeight="1">
      <x:c r="A48" s="16" t="str">
        <x:v>SRC_COR_SENSI_CHOM_balance_u10</x:v>
      </x:c>
      <x:c r="B48" s="16" t="str">
        <x:v>retirement_sensitivity_unemployment.parquet</x:v>
      </x:c>
      <x:c r="C48" s="16" t="str">
        <x:v>balance_u10</x:v>
      </x:c>
      <x:c r="D48" s="16" t="str">
        <x:v>CONFORME</x:v>
      </x:c>
      <x:c r="E48" s="17" t="n">
        <x:v>46</x:v>
      </x:c>
      <x:c r="F48" s="17" t="n">
        <x:v>0</x:v>
      </x:c>
      <x:c r="G48" s="19" t="n">
        <x:v>0</x:v>
      </x:c>
      <x:c r="H48" s="16" t="str">
        <x:v>data/sources/cor/Données_RA2026_P2.xlsx</x:v>
      </x:c>
      <x:c r="I48" s="16" t="str">
        <x:v>Fig 2.21</x:v>
      </x:c>
      <x:c r="J48" s="16" t="str">
        <x:v>identite</x:v>
      </x:c>
      <x:c r="K48" s="16" t="str"/>
    </x:row>
    <x:row r="49" ht="80" customHeight="1">
      <x:c r="A49" s="15" t="str">
        <x:v>SRC_COR_SENSI_PROD_expenditure_ref</x:v>
      </x:c>
      <x:c r="B49" s="15" t="str">
        <x:v>retirement_sensitivity_productivity.parquet</x:v>
      </x:c>
      <x:c r="C49" s="15" t="str">
        <x:v>expenditure_ref</x:v>
      </x:c>
      <x:c r="D49" s="15" t="str">
        <x:v>CONFORME</x:v>
      </x:c>
      <x:c r="E49" s="18" t="n">
        <x:v>46</x:v>
      </x:c>
      <x:c r="F49" s="18" t="n">
        <x:v>0</x:v>
      </x:c>
      <x:c r="G49" s="20" t="n">
        <x:v>0</x:v>
      </x:c>
      <x:c r="H49" s="15" t="str">
        <x:v>data/sources/cor/Données_RA2026_P2.xlsx</x:v>
      </x:c>
      <x:c r="I49" s="15" t="str">
        <x:v>Fig 2.22</x:v>
      </x:c>
      <x:c r="J49" s="15" t="str">
        <x:v>identite</x:v>
      </x:c>
      <x:c r="K49" s="15" t="str"/>
    </x:row>
    <x:row r="50" ht="80" customHeight="1">
      <x:c r="A50" s="16" t="str">
        <x:v>SRC_COR_SENSI_PROD_expenditure_p04</x:v>
      </x:c>
      <x:c r="B50" s="16" t="str">
        <x:v>retirement_sensitivity_productivity.parquet</x:v>
      </x:c>
      <x:c r="C50" s="16" t="str">
        <x:v>expenditure_p04</x:v>
      </x:c>
      <x:c r="D50" s="16" t="str">
        <x:v>CONFORME</x:v>
      </x:c>
      <x:c r="E50" s="17" t="n">
        <x:v>46</x:v>
      </x:c>
      <x:c r="F50" s="17" t="n">
        <x:v>0</x:v>
      </x:c>
      <x:c r="G50" s="19" t="n">
        <x:v>0</x:v>
      </x:c>
      <x:c r="H50" s="16" t="str">
        <x:v>data/sources/cor/Données_RA2026_P2.xlsx</x:v>
      </x:c>
      <x:c r="I50" s="16" t="str">
        <x:v>Fig 2.22</x:v>
      </x:c>
      <x:c r="J50" s="16" t="str">
        <x:v>identite</x:v>
      </x:c>
      <x:c r="K50" s="16" t="str"/>
    </x:row>
    <x:row r="51" ht="80" customHeight="1">
      <x:c r="A51" s="15" t="str">
        <x:v>SRC_COR_SENSI_PROD_expenditure_p10</x:v>
      </x:c>
      <x:c r="B51" s="15" t="str">
        <x:v>retirement_sensitivity_productivity.parquet</x:v>
      </x:c>
      <x:c r="C51" s="15" t="str">
        <x:v>expenditure_p10</x:v>
      </x:c>
      <x:c r="D51" s="15" t="str">
        <x:v>CONFORME</x:v>
      </x:c>
      <x:c r="E51" s="18" t="n">
        <x:v>46</x:v>
      </x:c>
      <x:c r="F51" s="18" t="n">
        <x:v>0</x:v>
      </x:c>
      <x:c r="G51" s="20" t="n">
        <x:v>0</x:v>
      </x:c>
      <x:c r="H51" s="15" t="str">
        <x:v>data/sources/cor/Données_RA2026_P2.xlsx</x:v>
      </x:c>
      <x:c r="I51" s="15" t="str">
        <x:v>Fig 2.22</x:v>
      </x:c>
      <x:c r="J51" s="15" t="str">
        <x:v>identite</x:v>
      </x:c>
      <x:c r="K51" s="15" t="str"/>
    </x:row>
    <x:row r="52" ht="80" customHeight="1">
      <x:c r="A52" s="16" t="str">
        <x:v>SRC_COR_SENSI_PROD_balance_ref</x:v>
      </x:c>
      <x:c r="B52" s="16" t="str">
        <x:v>retirement_sensitivity_productivity.parquet</x:v>
      </x:c>
      <x:c r="C52" s="16" t="str">
        <x:v>balance_ref</x:v>
      </x:c>
      <x:c r="D52" s="16" t="str">
        <x:v>CONFORME</x:v>
      </x:c>
      <x:c r="E52" s="17" t="n">
        <x:v>46</x:v>
      </x:c>
      <x:c r="F52" s="17" t="n">
        <x:v>0</x:v>
      </x:c>
      <x:c r="G52" s="19" t="n">
        <x:v>0</x:v>
      </x:c>
      <x:c r="H52" s="16" t="str">
        <x:v>data/sources/cor/Données_RA2026_P2.xlsx</x:v>
      </x:c>
      <x:c r="I52" s="16" t="str">
        <x:v>Fig 2.22</x:v>
      </x:c>
      <x:c r="J52" s="16" t="str">
        <x:v>identite</x:v>
      </x:c>
      <x:c r="K52" s="16" t="str"/>
    </x:row>
    <x:row r="53" ht="80" customHeight="1">
      <x:c r="A53" s="15" t="str">
        <x:v>SRC_COR_SENSI_PROD_balance_p04</x:v>
      </x:c>
      <x:c r="B53" s="15" t="str">
        <x:v>retirement_sensitivity_productivity.parquet</x:v>
      </x:c>
      <x:c r="C53" s="15" t="str">
        <x:v>balance_p04</x:v>
      </x:c>
      <x:c r="D53" s="15" t="str">
        <x:v>CONFORME</x:v>
      </x:c>
      <x:c r="E53" s="18" t="n">
        <x:v>46</x:v>
      </x:c>
      <x:c r="F53" s="18" t="n">
        <x:v>0</x:v>
      </x:c>
      <x:c r="G53" s="20" t="n">
        <x:v>0</x:v>
      </x:c>
      <x:c r="H53" s="15" t="str">
        <x:v>data/sources/cor/Données_RA2026_P2.xlsx</x:v>
      </x:c>
      <x:c r="I53" s="15" t="str">
        <x:v>Fig 2.22</x:v>
      </x:c>
      <x:c r="J53" s="15" t="str">
        <x:v>identite</x:v>
      </x:c>
      <x:c r="K53" s="15" t="str"/>
    </x:row>
    <x:row r="54" ht="80" customHeight="1">
      <x:c r="A54" s="16" t="str">
        <x:v>SRC_COR_SENSI_PROD_balance_p10</x:v>
      </x:c>
      <x:c r="B54" s="16" t="str">
        <x:v>retirement_sensitivity_productivity.parquet</x:v>
      </x:c>
      <x:c r="C54" s="16" t="str">
        <x:v>balance_p10</x:v>
      </x:c>
      <x:c r="D54" s="16" t="str">
        <x:v>CONFORME</x:v>
      </x:c>
      <x:c r="E54" s="17" t="n">
        <x:v>46</x:v>
      </x:c>
      <x:c r="F54" s="17" t="n">
        <x:v>0</x:v>
      </x:c>
      <x:c r="G54" s="19" t="n">
        <x:v>0</x:v>
      </x:c>
      <x:c r="H54" s="16" t="str">
        <x:v>data/sources/cor/Données_RA2026_P2.xlsx</x:v>
      </x:c>
      <x:c r="I54" s="16" t="str">
        <x:v>Fig 2.22</x:v>
      </x:c>
      <x:c r="J54" s="16" t="str">
        <x:v>identite</x:v>
      </x:c>
      <x:c r="K54" s="16" t="str"/>
    </x:row>
    <x:row r="55" ht="80" customHeight="1">
      <x:c r="A55" s="15" t="str">
        <x:v>SRC_ACTIVITY_ANCHORS</x:v>
      </x:c>
      <x:c r="B55" s="15" t="str">
        <x:v>activity_rates.parquet</x:v>
      </x:c>
      <x:c r="C55" s="15" t="str">
        <x:v>activity_rate_cor2026_anchor</x:v>
      </x:c>
      <x:c r="D55" s="15" t="str">
        <x:v>CONFORME</x:v>
      </x:c>
      <x:c r="E55" s="18" t="n">
        <x:v>18</x:v>
      </x:c>
      <x:c r="F55" s="18" t="n">
        <x:v>0</x:v>
      </x:c>
      <x:c r="G55" s="20" t="n">
        <x:v>0</x:v>
      </x:c>
      <x:c r="H55" s="15" t="str">
        <x:v>data/sources/cor/Données_RA2026_P1.xlsx</x:v>
      </x:c>
      <x:c r="I55" s="15" t="str">
        <x:v>Fig 1.8</x:v>
      </x:c>
      <x:c r="J55" s="15" t="str">
        <x:v>pourcentage / 100</x:v>
      </x:c>
      <x:c r="K55" s="15" t="str"/>
    </x:row>
    <x:row r="56" ht="80" customHeight="1">
      <x:c r="A56" s="16" t="str">
        <x:v>SOURCE_ACTIVITY_MISSING</x:v>
      </x:c>
      <x:c r="B56" s="16" t="str">
        <x:v>activity_rates.parquet</x:v>
      </x:c>
      <x:c r="C56" s="16" t="str"/>
      <x:c r="D56" s="16" t="str">
        <x:v>PARTIEL</x:v>
      </x:c>
      <x:c r="E56" s="17" t="n">
        <x:v>0</x:v>
      </x:c>
      <x:c r="F56" s="17" t="n">
        <x:v>0</x:v>
      </x:c>
      <x:c r="G56" s="19"/>
      <x:c r="H56" s="16" t="str">
        <x:v>ECRT2023-E2.xlsx</x:v>
      </x:c>
      <x:c r="I56" s="16" t="str"/>
      <x:c r="J56" s="16" t="str"/>
      <x:c r="K56" s="16" t="str">
        <x:v>Les 414 taux activity_rate_insee2023 sont egaux au MASTER mais non confrontes a ECRT2023-E2.xlsx, absent du ZIP. Les 18 ancrages COR sont verifies.</x:v>
      </x:c>
    </x:row>
    <x:row r="57" ht="80" customHeight="1">
      <x:c r="A57" s="15" t="str">
        <x:v>SRC_WORK_active_population</x:v>
      </x:c>
      <x:c r="B57" s="15" t="str">
        <x:v>labour_status_rates.parquet</x:v>
      </x:c>
      <x:c r="C57" s="15" t="str">
        <x:v>active_population</x:v>
      </x:c>
      <x:c r="D57" s="15" t="str">
        <x:v>CONFORME</x:v>
      </x:c>
      <x:c r="E57" s="18" t="n">
        <x:v>30</x:v>
      </x:c>
      <x:c r="F57" s="18" t="n">
        <x:v>0</x:v>
      </x:c>
      <x:c r="G57" s="20" t="n">
        <x:v>0</x:v>
      </x:c>
      <x:c r="H57" s="15" t="str">
        <x:v>data/sources/insee/EEC_PACT00.xlsx</x:v>
      </x:c>
      <x:c r="I57" s="15" t="str">
        <x:v>PACT00</x:v>
      </x:c>
      <x:c r="J57" s="15" t="str">
        <x:v>x 1000</x:v>
      </x:c>
      <x:c r="K57" s="15" t="str"/>
    </x:row>
    <x:row r="58" ht="80" customHeight="1">
      <x:c r="A58" s="16" t="str">
        <x:v>SRC_WORK_activity_rate</x:v>
      </x:c>
      <x:c r="B58" s="16" t="str">
        <x:v>labour_status_rates.parquet</x:v>
      </x:c>
      <x:c r="C58" s="16" t="str">
        <x:v>activity_rate</x:v>
      </x:c>
      <x:c r="D58" s="16" t="str">
        <x:v>CONFORME</x:v>
      </x:c>
      <x:c r="E58" s="17" t="n">
        <x:v>30</x:v>
      </x:c>
      <x:c r="F58" s="17" t="n">
        <x:v>0</x:v>
      </x:c>
      <x:c r="G58" s="19" t="n">
        <x:v>1.1102230246251565e-16</x:v>
      </x:c>
      <x:c r="H58" s="16" t="str">
        <x:v>data/sources/insee/EEC_PACT00.xlsx</x:v>
      </x:c>
      <x:c r="I58" s="16" t="str">
        <x:v>PACT00</x:v>
      </x:c>
      <x:c r="J58" s="16" t="str">
        <x:v>x 0.01</x:v>
      </x:c>
      <x:c r="K58" s="16" t="str"/>
    </x:row>
    <x:row r="59" ht="80" customHeight="1">
      <x:c r="A59" s="15" t="str">
        <x:v>SRC_WORK_employed_population</x:v>
      </x:c>
      <x:c r="B59" s="15" t="str">
        <x:v>labour_status_rates.parquet</x:v>
      </x:c>
      <x:c r="C59" s="15" t="str">
        <x:v>employed_population</x:v>
      </x:c>
      <x:c r="D59" s="15" t="str">
        <x:v>CONFORME</x:v>
      </x:c>
      <x:c r="E59" s="18" t="n">
        <x:v>30</x:v>
      </x:c>
      <x:c r="F59" s="18" t="n">
        <x:v>0</x:v>
      </x:c>
      <x:c r="G59" s="20" t="n">
        <x:v>0</x:v>
      </x:c>
      <x:c r="H59" s="15" t="str">
        <x:v>data/sources/insee/EEC_PEMP01.xlsx</x:v>
      </x:c>
      <x:c r="I59" s="15" t="str">
        <x:v>PEMP01</x:v>
      </x:c>
      <x:c r="J59" s="15" t="str">
        <x:v>x 1000</x:v>
      </x:c>
      <x:c r="K59" s="15" t="str"/>
    </x:row>
    <x:row r="60" ht="80" customHeight="1">
      <x:c r="A60" s="16" t="str">
        <x:v>SRC_WORK_employment_rate</x:v>
      </x:c>
      <x:c r="B60" s="16" t="str">
        <x:v>labour_status_rates.parquet</x:v>
      </x:c>
      <x:c r="C60" s="16" t="str">
        <x:v>employment_rate</x:v>
      </x:c>
      <x:c r="D60" s="16" t="str">
        <x:v>CONFORME</x:v>
      </x:c>
      <x:c r="E60" s="17" t="n">
        <x:v>30</x:v>
      </x:c>
      <x:c r="F60" s="17" t="n">
        <x:v>0</x:v>
      </x:c>
      <x:c r="G60" s="19" t="n">
        <x:v>1.1102230246251565e-16</x:v>
      </x:c>
      <x:c r="H60" s="16" t="str">
        <x:v>data/sources/insee/EEC_PEMP01.xlsx</x:v>
      </x:c>
      <x:c r="I60" s="16" t="str">
        <x:v>PEMP01</x:v>
      </x:c>
      <x:c r="J60" s="16" t="str">
        <x:v>x 0.01</x:v>
      </x:c>
      <x:c r="K60" s="16" t="str"/>
    </x:row>
    <x:row r="61" ht="80" customHeight="1">
      <x:c r="A61" s="15" t="str">
        <x:v>DER_WORK_unemployed_population</x:v>
      </x:c>
      <x:c r="B61" s="15" t="str">
        <x:v>labour_status_rates.parquet</x:v>
      </x:c>
      <x:c r="C61" s="15" t="str">
        <x:v>unemployed_population</x:v>
      </x:c>
      <x:c r="D61" s="15" t="str">
        <x:v>CONFORME</x:v>
      </x:c>
      <x:c r="E61" s="18" t="n">
        <x:v>30</x:v>
      </x:c>
      <x:c r="F61" s="18" t="n">
        <x:v>0</x:v>
      </x:c>
      <x:c r="G61" s="20" t="n">
        <x:v>2.9103830456733704e-10</x:v>
      </x:c>
      <x:c r="H61" s="15" t="str">
        <x:v>EEC_PACT00.xlsx + EEC_PEMP01.xlsx</x:v>
      </x:c>
      <x:c r="I61" s="15" t="str">
        <x:v>PACT00 / PEMP01</x:v>
      </x:c>
      <x:c r="J61" s="15" t="str">
        <x:v>(actifs - emplois) * 1000</x:v>
      </x:c>
      <x:c r="K61" s="15" t="str"/>
    </x:row>
    <x:row r="62" ht="80" customHeight="1">
      <x:c r="A62" s="16" t="str">
        <x:v>DER_WORK_unemployment_rate</x:v>
      </x:c>
      <x:c r="B62" s="16" t="str">
        <x:v>labour_status_rates.parquet</x:v>
      </x:c>
      <x:c r="C62" s="16" t="str">
        <x:v>unemployment_rate</x:v>
      </x:c>
      <x:c r="D62" s="16" t="str">
        <x:v>CONFORME</x:v>
      </x:c>
      <x:c r="E62" s="17" t="n">
        <x:v>30</x:v>
      </x:c>
      <x:c r="F62" s="17" t="n">
        <x:v>0</x:v>
      </x:c>
      <x:c r="G62" s="19" t="n">
        <x:v>9.71445146547012e-17</x:v>
      </x:c>
      <x:c r="H62" s="16" t="str">
        <x:v>EEC_PACT00.xlsx + EEC_PEMP01.xlsx</x:v>
      </x:c>
      <x:c r="I62" s="16" t="str">
        <x:v>PACT00 / PEMP01</x:v>
      </x:c>
      <x:c r="J62" s="16" t="str">
        <x:v>(actifs - emplois) / actifs</x:v>
      </x:c>
      <x:c r="K62" s="16" t="str"/>
    </x:row>
    <x:row r="63" ht="80" customHeight="1">
      <x:c r="A63" s="15" t="str">
        <x:v>DER_WORK_unemployed_share_population</x:v>
      </x:c>
      <x:c r="B63" s="15" t="str">
        <x:v>labour_status_rates.parquet</x:v>
      </x:c>
      <x:c r="C63" s="15" t="str">
        <x:v>unemployed_share_population</x:v>
      </x:c>
      <x:c r="D63" s="15" t="str">
        <x:v>CONFORME</x:v>
      </x:c>
      <x:c r="E63" s="18" t="n">
        <x:v>30</x:v>
      </x:c>
      <x:c r="F63" s="18" t="n">
        <x:v>0</x:v>
      </x:c>
      <x:c r="G63" s="20" t="n">
        <x:v>8.326672684688674e-17</x:v>
      </x:c>
      <x:c r="H63" s="15" t="str">
        <x:v>EEC_PACT00.xlsx + EEC_PEMP01.xlsx</x:v>
      </x:c>
      <x:c r="I63" s="15" t="str">
        <x:v>PACT00 / PEMP01</x:v>
      </x:c>
      <x:c r="J63" s="15" t="str">
        <x:v>(taux activite - taux emploi) / 100</x:v>
      </x:c>
      <x:c r="K63" s="15" t="str"/>
    </x:row>
    <x:row r="64" ht="80" customHeight="1">
      <x:c r="A64" s="16" t="str">
        <x:v>DER_WORK_inactive_share_population</x:v>
      </x:c>
      <x:c r="B64" s="16" t="str">
        <x:v>labour_status_rates.parquet</x:v>
      </x:c>
      <x:c r="C64" s="16" t="str">
        <x:v>inactive_share_population</x:v>
      </x:c>
      <x:c r="D64" s="16" t="str">
        <x:v>CONFORME</x:v>
      </x:c>
      <x:c r="E64" s="17" t="n">
        <x:v>30</x:v>
      </x:c>
      <x:c r="F64" s="17" t="n">
        <x:v>0</x:v>
      </x:c>
      <x:c r="G64" s="19" t="n">
        <x:v>0</x:v>
      </x:c>
      <x:c r="H64" s="16" t="str">
        <x:v>EEC_PACT00.xlsx + EEC_PEMP01.xlsx</x:v>
      </x:c>
      <x:c r="I64" s="16" t="str">
        <x:v>PACT00 / PEMP01</x:v>
      </x:c>
      <x:c r="J64" s="16" t="str">
        <x:v>1 - taux activite / 100</x:v>
      </x:c>
      <x:c r="K64" s="16" t="str"/>
    </x:row>
    <x:row r="65" ht="80" customHeight="1">
      <x:c r="A65" s="15" t="str">
        <x:v>CHECK_CHOM01_unemployed_population</x:v>
      </x:c>
      <x:c r="B65" s="15" t="str">
        <x:v>labour_status_rates.parquet</x:v>
      </x:c>
      <x:c r="C65" s="15" t="str">
        <x:v>unemployed_population</x:v>
      </x:c>
      <x:c r="D65" s="15" t="str">
        <x:v>CONFORME</x:v>
      </x:c>
      <x:c r="E65" s="18" t="n">
        <x:v>30</x:v>
      </x:c>
      <x:c r="F65" s="18" t="n">
        <x:v>0</x:v>
      </x:c>
      <x:c r="G65" s="20" t="n">
        <x:v>100</x:v>
      </x:c>
      <x:c r="H65" s="15" t="str">
        <x:v>data/sources/insee/EEC_CHOM01.xlsx</x:v>
      </x:c>
      <x:c r="I65" s="15" t="str">
        <x:v>CHOM01</x:v>
      </x:c>
      <x:c r="J65" s="15" t="str">
        <x:v>x 1000</x:v>
      </x:c>
      <x:c r="K65" s="15" t="str">
        <x:v>Controle avec tolerance d arrondi; effectifs publies en milliers a une decimale, tolerance 151 personnes (trois arrondis possibles de 50, plus marge numerique); taux publies a 0,1 point, tolerance 0,0501 point. Il ne s agit pas d une egalite exacte des sources arrondies.</x:v>
      </x:c>
    </x:row>
    <x:row r="66" ht="80" customHeight="1">
      <x:c r="A66" s="16" t="str">
        <x:v>CHECK_CHOM01_unemployment_rate</x:v>
      </x:c>
      <x:c r="B66" s="16" t="str">
        <x:v>labour_status_rates.parquet</x:v>
      </x:c>
      <x:c r="C66" s="16" t="str">
        <x:v>unemployment_rate</x:v>
      </x:c>
      <x:c r="D66" s="16" t="str">
        <x:v>CONFORME</x:v>
      </x:c>
      <x:c r="E66" s="17" t="n">
        <x:v>30</x:v>
      </x:c>
      <x:c r="F66" s="17" t="n">
        <x:v>0</x:v>
      </x:c>
      <x:c r="G66" s="19" t="n">
        <x:v>0.0004983415418635048</x:v>
      </x:c>
      <x:c r="H66" s="16" t="str">
        <x:v>data/sources/insee/EEC_CHOM01.xlsx</x:v>
      </x:c>
      <x:c r="I66" s="16" t="str">
        <x:v>CHOM01</x:v>
      </x:c>
      <x:c r="J66" s="16" t="str">
        <x:v>x 0.01</x:v>
      </x:c>
      <x:c r="K66" s="16" t="str">
        <x:v>Controle avec tolerance d arrondi; effectifs publies en milliers a une decimale, tolerance 151 personnes (trois arrondis possibles de 50, plus marge numerique); taux publies a 0,1 point, tolerance 0,0501 point. Il ne s agit pas d une egalite exacte des sources arrondies.</x:v>
      </x:c>
    </x:row>
    <x:row r="67" ht="80" customHeight="1">
      <x:c r="A67" s="15" t="str">
        <x:v>SRC_LEGAL_AOD_DAR_aod_months</x:v>
      </x:c>
      <x:c r="B67" s="15" t="str">
        <x:v>legal_aod_dar.parquet</x:v>
      </x:c>
      <x:c r="C67" s="15" t="str">
        <x:v>aod_months</x:v>
      </x:c>
      <x:c r="D67" s="15" t="str">
        <x:v>CONFORME</x:v>
      </x:c>
      <x:c r="E67" s="18" t="n">
        <x:v>612</x:v>
      </x:c>
      <x:c r="F67" s="18" t="n">
        <x:v>0</x:v>
      </x:c>
      <x:c r="G67" s="20" t="n">
        <x:v>0</x:v>
      </x:c>
      <x:c r="H67" s="15" t="str">
        <x:v>data/sources/cor/Données_RA2026_P1.xlsx</x:v>
      </x:c>
      <x:c r="I67" s="15" t="str">
        <x:v>Tab 1.4</x:v>
      </x:c>
      <x:c r="J67" s="15" t="str">
        <x:v>expansion mensuelle; derniere regle prolongee aux generations suivantes</x:v>
      </x:c>
      <x:c r="K67" s="15" t="str">
        <x:v>Concordance avec le tableau fourni, pas verification Legifrance de la date d effet. AAD=67 ans non present dans ces tableaux.</x:v>
      </x:c>
    </x:row>
    <x:row r="68" ht="80" customHeight="1">
      <x:c r="A68" s="16" t="str">
        <x:v>SRC_LEGAL_AOD_DAR_dar_quarters</x:v>
      </x:c>
      <x:c r="B68" s="16" t="str">
        <x:v>legal_aod_dar.parquet</x:v>
      </x:c>
      <x:c r="C68" s="16" t="str">
        <x:v>dar_quarters</x:v>
      </x:c>
      <x:c r="D68" s="16" t="str">
        <x:v>CONFORME</x:v>
      </x:c>
      <x:c r="E68" s="17" t="n">
        <x:v>612</x:v>
      </x:c>
      <x:c r="F68" s="17" t="n">
        <x:v>0</x:v>
      </x:c>
      <x:c r="G68" s="19" t="n">
        <x:v>0</x:v>
      </x:c>
      <x:c r="H68" s="16" t="str">
        <x:v>data/sources/cor/Données_RA2026_P1.xlsx</x:v>
      </x:c>
      <x:c r="I68" s="16" t="str">
        <x:v>Tab 1.4</x:v>
      </x:c>
      <x:c r="J68" s="16" t="str">
        <x:v>expansion mensuelle; derniere regle prolongee aux generations suivantes</x:v>
      </x:c>
      <x:c r="K68" s="16" t="str">
        <x:v>Concordance avec le tableau fourni, pas verification Legifrance de la date d effet. AAD=67 ans non present dans ces tableaux.</x:v>
      </x:c>
    </x:row>
    <x:row r="69" ht="80" customHeight="1">
      <x:c r="A69" s="15" t="str">
        <x:v>SRC_LEGAL_RACL20_racl20_aod_months</x:v>
      </x:c>
      <x:c r="B69" s="15" t="str">
        <x:v>legal_racl20.parquet</x:v>
      </x:c>
      <x:c r="C69" s="15" t="str">
        <x:v>racl20_aod_months</x:v>
      </x:c>
      <x:c r="D69" s="15" t="str">
        <x:v>CONFORME</x:v>
      </x:c>
      <x:c r="E69" s="18" t="n">
        <x:v>568</x:v>
      </x:c>
      <x:c r="F69" s="18" t="n">
        <x:v>0</x:v>
      </x:c>
      <x:c r="G69" s="20" t="n">
        <x:v>0</x:v>
      </x:c>
      <x:c r="H69" s="15" t="str">
        <x:v>data/sources/cor/Données_RA2026_P1.xlsx</x:v>
      </x:c>
      <x:c r="I69" s="15" t="str">
        <x:v>Tab 1.5</x:v>
      </x:c>
      <x:c r="J69" s="15" t="str">
        <x:v>expansion mensuelle; derniere regle prolongee aux generations suivantes</x:v>
      </x:c>
      <x:c r="K69" s="15" t="str">
        <x:v>Concordance avec le tableau fourni, pas verification Legifrance de la date d effet. AAD=67 ans non present dans ces tableaux.</x:v>
      </x:c>
    </x:row>
    <x:row r="70" ht="80" customHeight="1">
      <x:c r="A70" s="16" t="str">
        <x:v>SRC_LEGAL_RACL20_dar_quarters</x:v>
      </x:c>
      <x:c r="B70" s="16" t="str">
        <x:v>legal_racl20.parquet</x:v>
      </x:c>
      <x:c r="C70" s="16" t="str">
        <x:v>dar_quarters</x:v>
      </x:c>
      <x:c r="D70" s="16" t="str">
        <x:v>CONFORME</x:v>
      </x:c>
      <x:c r="E70" s="17" t="n">
        <x:v>568</x:v>
      </x:c>
      <x:c r="F70" s="17" t="n">
        <x:v>0</x:v>
      </x:c>
      <x:c r="G70" s="19" t="n">
        <x:v>0</x:v>
      </x:c>
      <x:c r="H70" s="16" t="str">
        <x:v>data/sources/cor/Données_RA2026_P1.xlsx</x:v>
      </x:c>
      <x:c r="I70" s="16" t="str">
        <x:v>Tab 1.5</x:v>
      </x:c>
      <x:c r="J70" s="16" t="str">
        <x:v>expansion mensuelle; derniere regle prolongee aux generations suivantes</x:v>
      </x:c>
      <x:c r="K70" s="16" t="str">
        <x:v>Concordance avec le tableau fourni, pas verification Legifrance de la date d effet. AAD=67 ans non present dans ces tableaux.</x:v>
      </x:c>
    </x:row>
    <x:row r="71" ht="80" customHeight="1">
      <x:c r="A71" s="15" t="str">
        <x:v>SRC_BENCH_min_value</x:v>
      </x:c>
      <x:c r="B71" s="15" t="str">
        <x:v>institutional_benchmarks.parquet</x:v>
      </x:c>
      <x:c r="C71" s="15" t="str">
        <x:v>min_value</x:v>
      </x:c>
      <x:c r="D71" s="15" t="str">
        <x:v>CONFORME</x:v>
      </x:c>
      <x:c r="E71" s="18" t="n">
        <x:v>9</x:v>
      </x:c>
      <x:c r="F71" s="18" t="n">
        <x:v>0</x:v>
      </x:c>
      <x:c r="G71" s="20" t="n">
        <x:v>0</x:v>
      </x:c>
      <x:c r="H71" s="15" t="str">
        <x:v>data/sources/cor/Données_RA2026_P2.xlsx</x:v>
      </x:c>
      <x:c r="I71" s="15" t="str">
        <x:v>Tab 2.10</x:v>
      </x:c>
      <x:c r="J71" s="15" t="str">
        <x:v>lecture de bornes; unites source conservees</x:v>
      </x:c>
      <x:c r="K71" s="15" t="str"/>
    </x:row>
    <x:row r="72" ht="80" customHeight="1">
      <x:c r="A72" s="16" t="str">
        <x:v>SRC_BENCH_max_value</x:v>
      </x:c>
      <x:c r="B72" s="16" t="str">
        <x:v>institutional_benchmarks.parquet</x:v>
      </x:c>
      <x:c r="C72" s="16" t="str">
        <x:v>max_value</x:v>
      </x:c>
      <x:c r="D72" s="16" t="str">
        <x:v>CONFORME</x:v>
      </x:c>
      <x:c r="E72" s="17" t="n">
        <x:v>9</x:v>
      </x:c>
      <x:c r="F72" s="17" t="n">
        <x:v>0</x:v>
      </x:c>
      <x:c r="G72" s="19" t="n">
        <x:v>0</x:v>
      </x:c>
      <x:c r="H72" s="16" t="str">
        <x:v>data/sources/cor/Données_RA2026_P2.xlsx</x:v>
      </x:c>
      <x:c r="I72" s="16" t="str">
        <x:v>Tab 2.10</x:v>
      </x:c>
      <x:c r="J72" s="16" t="str">
        <x:v>lecture de bornes; unites source conservees</x:v>
      </x:c>
      <x:c r="K72" s="16" t="str"/>
    </x:row>
    <x:row r="73" ht="80" customHeight="1">
      <x:c r="A73" s="15" t="str">
        <x:v>SRC_CNAV_AGE</x:v>
      </x:c>
      <x:c r="B73" s="15" t="str">
        <x:v>liquidation_age_counts.parquet</x:v>
      </x:c>
      <x:c r="C73" s="15" t="str">
        <x:v>effectifs</x:v>
      </x:c>
      <x:c r="D73" s="15" t="str">
        <x:v>CONFORME</x:v>
      </x:c>
      <x:c r="E73" s="18" t="n">
        <x:v>51</x:v>
      </x:c>
      <x:c r="F73" s="18" t="n">
        <x:v>0</x:v>
      </x:c>
      <x:c r="G73" s="20" t="n">
        <x:v>0</x:v>
      </x:c>
      <x:c r="H73" s="15" t="str">
        <x:v>data/sources/drees/62 EACR diffusée Part 1 - version du 26 mai 2026.xlsx</x:v>
      </x:c>
      <x:c r="I73" s="15" t="str">
        <x:v>B-Liquidants</x:v>
      </x:c>
      <x:c r="J73" s="15" t="str">
        <x:v>Filtres : 2024, CNAV, CC=0015, Flux, Nb_trim=Ensemble, Type_depart=Ensemble; ages hors total</x:v>
      </x:c>
      <x:c r="K73" s="15" t="str"/>
    </x:row>
    <x:row r="74" ht="80" customHeight="1">
      <x:c r="A74" s="16" t="str">
        <x:v>SRC_CNAV_GROUP_effectifs</x:v>
      </x:c>
      <x:c r="B74" s="16" t="str">
        <x:v>liquidation_groups.parquet</x:v>
      </x:c>
      <x:c r="C74" s="16" t="str">
        <x:v>effectifs</x:v>
      </x:c>
      <x:c r="D74" s="16" t="str">
        <x:v>CONFORME</x:v>
      </x:c>
      <x:c r="E74" s="17" t="n">
        <x:v>12</x:v>
      </x:c>
      <x:c r="F74" s="17" t="n">
        <x:v>0</x:v>
      </x:c>
      <x:c r="G74" s="19" t="n">
        <x:v>0</x:v>
      </x:c>
      <x:c r="H74" s="16" t="str">
        <x:v>data/sources/drees/62 EACR diffusée Part 2 - version du 26 mai 2026.xlsx</x:v>
      </x:c>
      <x:c r="I74" s="16" t="str">
        <x:v>H-Conditions_liq</x:v>
      </x:c>
      <x:c r="J74" s="16" t="str">
        <x:v>regroupement de 9 motifs exclusifs; pension ponderee par effectifs</x:v>
      </x:c>
      <x:c r="K74" s="16" t="str"/>
    </x:row>
    <x:row r="75" ht="80" customHeight="1">
      <x:c r="A75" s="15" t="str">
        <x:v>SRC_CNAV_GROUP_share_total</x:v>
      </x:c>
      <x:c r="B75" s="15" t="str">
        <x:v>liquidation_groups.parquet</x:v>
      </x:c>
      <x:c r="C75" s="15" t="str">
        <x:v>share_total</x:v>
      </x:c>
      <x:c r="D75" s="15" t="str">
        <x:v>CONFORME</x:v>
      </x:c>
      <x:c r="E75" s="18" t="n">
        <x:v>12</x:v>
      </x:c>
      <x:c r="F75" s="18" t="n">
        <x:v>0</x:v>
      </x:c>
      <x:c r="G75" s="20" t="n">
        <x:v>0</x:v>
      </x:c>
      <x:c r="H75" s="15" t="str">
        <x:v>data/sources/drees/62 EACR diffusée Part 2 - version du 26 mai 2026.xlsx</x:v>
      </x:c>
      <x:c r="I75" s="15" t="str">
        <x:v>H-Conditions_liq</x:v>
      </x:c>
      <x:c r="J75" s="15" t="str">
        <x:v>regroupement de 9 motifs exclusifs; pension ponderee par effectifs</x:v>
      </x:c>
      <x:c r="K75" s="15" t="str"/>
    </x:row>
    <x:row r="76" ht="80" customHeight="1">
      <x:c r="A76" s="16" t="str">
        <x:v>SRC_CNAV_GROUP_avg_monthly_pension_eur</x:v>
      </x:c>
      <x:c r="B76" s="16" t="str">
        <x:v>liquidation_groups.parquet</x:v>
      </x:c>
      <x:c r="C76" s="16" t="str">
        <x:v>avg_monthly_pension_eur</x:v>
      </x:c>
      <x:c r="D76" s="16" t="str">
        <x:v>CONFORME</x:v>
      </x:c>
      <x:c r="E76" s="17" t="n">
        <x:v>12</x:v>
      </x:c>
      <x:c r="F76" s="17" t="n">
        <x:v>0</x:v>
      </x:c>
      <x:c r="G76" s="19" t="n">
        <x:v>0</x:v>
      </x:c>
      <x:c r="H76" s="16" t="str">
        <x:v>data/sources/drees/62 EACR diffusée Part 2 - version du 26 mai 2026.xlsx</x:v>
      </x:c>
      <x:c r="I76" s="16" t="str">
        <x:v>H-Conditions_liq</x:v>
      </x:c>
      <x:c r="J76" s="16" t="str">
        <x:v>regroupement de 9 motifs exclusifs; pension ponderee par effectifs</x:v>
      </x:c>
      <x:c r="K76" s="16" t="str"/>
    </x:row>
    <x:row r="77" ht="80" customHeight="1">
      <x:c r="A77" s="15" t="str">
        <x:v>JOINT_AGE_MARGIN</x:v>
      </x:c>
      <x:c r="B77" s="15" t="str">
        <x:v>cnav_age_group_2024.csv</x:v>
      </x:c>
      <x:c r="C77" s="15" t="str">
        <x:v>effectifs</x:v>
      </x:c>
      <x:c r="D77" s="15" t="str">
        <x:v>CONFORME</x:v>
      </x:c>
      <x:c r="E77" s="18" t="n">
        <x:v>51</x:v>
      </x:c>
      <x:c r="F77" s="18" t="n">
        <x:v>0</x:v>
      </x:c>
      <x:c r="G77" s="20" t="n">
        <x:v>0</x:v>
      </x:c>
      <x:c r="H77" s="15" t="str">
        <x:v>data/sources/drees/62 EACR diffusée Part 1 - version du 26 mai 2026.xlsx</x:v>
      </x:c>
      <x:c r="I77" s="15" t="str">
        <x:v>B-Liquidants</x:v>
      </x:c>
      <x:c r="J77" s="15" t="str">
        <x:v>somme des motifs exclusifs par age et sexe</x:v>
      </x:c>
      <x:c r="K77" s="15" t="str"/>
    </x:row>
    <x:row r="78" ht="80" customHeight="1">
      <x:c r="A78" s="16" t="str">
        <x:v>JOINT_GROUP_MARGIN</x:v>
      </x:c>
      <x:c r="B78" s="16" t="str">
        <x:v>cnav_age_group_2024.csv</x:v>
      </x:c>
      <x:c r="C78" s="16" t="str">
        <x:v>effectifs</x:v>
      </x:c>
      <x:c r="D78" s="16" t="str">
        <x:v>CONFORME</x:v>
      </x:c>
      <x:c r="E78" s="17" t="n">
        <x:v>12</x:v>
      </x:c>
      <x:c r="F78" s="17" t="n">
        <x:v>0</x:v>
      </x:c>
      <x:c r="G78" s="19" t="n">
        <x:v>0</x:v>
      </x:c>
      <x:c r="H78" s="16" t="str">
        <x:v>data/MASTER_DATA_RETRAITES_V1.xlsx</x:v>
      </x:c>
      <x:c r="I78" s="16" t="str">
        <x:v>CNAV_LIQ_GROUP</x:v>
      </x:c>
      <x:c r="J78" s="16" t="str">
        <x:v>somme des ages, y compris &gt;70</x:v>
      </x:c>
      <x:c r="K78" s="16" t="str"/>
    </x:row>
    <x:row r="79" ht="80" customHeight="1">
      <x:c r="A79" s="15" t="str">
        <x:v>META_FIG24</x:v>
      </x:c>
      <x:c r="B79" s="15" t="str">
        <x:v>retirement_baseline.parquet</x:v>
      </x:c>
      <x:c r="C79" s="15" t="str"/>
      <x:c r="D79" s="15" t="str">
        <x:v>ALERTE</x:v>
      </x:c>
      <x:c r="E79" s="18" t="n">
        <x:v>0</x:v>
      </x:c>
      <x:c r="F79" s="18" t="n">
        <x:v>0</x:v>
      </x:c>
      <x:c r="G79" s="20"/>
      <x:c r="H79" s="15" t="str">
        <x:v>data/sources/cor/Données_RA2026_P2.xlsx</x:v>
      </x:c>
      <x:c r="I79" s="15" t="str">
        <x:v>Fig 2.4!B10 / Fig 2.2!B8</x:v>
      </x:c>
      <x:c r="J79" s="15" t="str"/>
      <x:c r="K79" s="15" t="str">
        <x:v>Fig 2.4!B10 mentionne fecondite 1,8, solde migratoire 70000 et chomage 7% des 2032; Fig 2.2!B8 mentionne 1,45, 150000 et 2040. Copie des valeurs conforme, validite economique non etablie.</x:v>
      </x:c>
    </x:row>
    <x:row r="80" ht="80" customHeight="1">
      <x:c r="A80" s="16" t="str">
        <x:v>CNAV_OPEN_AGE</x:v>
      </x:c>
      <x:c r="B80" s="16" t="str">
        <x:v>liquidation_age_counts.parquet</x:v>
      </x:c>
      <x:c r="C80" s="16" t="str"/>
      <x:c r="D80" s="16" t="str">
        <x:v>ALERTE</x:v>
      </x:c>
      <x:c r="E80" s="17" t="n">
        <x:v>0</x:v>
      </x:c>
      <x:c r="F80" s="17" t="n">
        <x:v>0</x:v>
      </x:c>
      <x:c r="G80" s="19"/>
      <x:c r="H80" s="16" t="str"/>
      <x:c r="I80" s="16" t="str"/>
      <x:c r="J80" s="16" t="str"/>
      <x:c r="K80" s="16" t="str">
        <x:v>La source contient &gt;70 (F=9083, H=6498). Le groupby(age_numeric) du modele elimine cette classe NaN: 632765 au lieu de 648346 au total F+H. Les effectifs 64 ans ne changent pas, les parts normalisees changent.</x:v>
      </x:c>
    </x:row>
    <x:row r="81" ht="80" customHeight="1">
      <x:c r="A81" s="15" t="str">
        <x:v>JOINT_DISCOVERED</x:v>
      </x:c>
      <x:c r="B81" s="15" t="str">
        <x:v>cnav_age_group_2024.csv</x:v>
      </x:c>
      <x:c r="C81" s="15" t="str"/>
      <x:c r="D81" s="15" t="str">
        <x:v>INFO</x:v>
      </x:c>
      <x:c r="E81" s="18" t="n">
        <x:v>0</x:v>
      </x:c>
      <x:c r="F81" s="18" t="n">
        <x:v>0</x:v>
      </x:c>
      <x:c r="G81" s="20"/>
      <x:c r="H81" s="15" t="str">
        <x:v>data/sources/drees/62 EACR diffusée Part 2 - version du 26 mai 2026.xlsx</x:v>
      </x:c>
      <x:c r="I81" s="15" t="str">
        <x:v>H-Conditions_liq</x:v>
      </x:c>
      <x:c r="J81" s="15" t="str"/>
      <x:c r="K81" s="15" t="str">
        <x:v>Croisement observe age x sexe x motif disponible dans H-Conditions_liq. Export annexe fourni, non branche dans la simulation. Cela ne fournit ni statut juste avant liquidation ni hazard conditionnel.</x:v>
      </x:c>
    </x:row>
    <x:row r="82" ht="80" customHeight="1">
      <x:c r="A82" s="16" t="str">
        <x:v>STATUS_PROXY</x:v>
      </x:c>
      <x:c r="B82" s="16" t="str">
        <x:v>labour_status_rates.parquet</x:v>
      </x:c>
      <x:c r="C82" s="16" t="str"/>
      <x:c r="D82" s="16" t="str">
        <x:v>ALERTE</x:v>
      </x:c>
      <x:c r="E82" s="17" t="n">
        <x:v>0</x:v>
      </x:c>
      <x:c r="F82" s="17" t="n">
        <x:v>0</x:v>
      </x:c>
      <x:c r="G82" s="19"/>
      <x:c r="H82" s="16" t="str"/>
      <x:c r="I82" s="16" t="str"/>
      <x:c r="J82" s="16" t="str"/>
      <x:c r="K82" s="16" t="str">
        <x:v>Le groupe 60-64 ans porte sur toute la population en logement ordinaire, dont des retraites; il ne mesure pas le statut des liquidants avant leur depart.</x:v>
      </x:c>
    </x:row>
    <x:row r="83" ht="80" customHeight="1">
      <x:c r="A83" s="15" t="str">
        <x:v>MODEL_TRANSITION</x:v>
      </x:c>
      <x:c r="B83" s="15" t="str">
        <x:v>reference_transition.py</x:v>
      </x:c>
      <x:c r="C83" s="15" t="str"/>
      <x:c r="D83" s="15" t="str">
        <x:v>ALERTE</x:v>
      </x:c>
      <x:c r="E83" s="18" t="n">
        <x:v>0</x:v>
      </x:c>
      <x:c r="F83" s="18" t="n">
        <x:v>0</x:v>
      </x:c>
      <x:c r="G83" s="20"/>
      <x:c r="H83" s="15" t="str"/>
      <x:c r="I83" s="15" t="str"/>
      <x:c r="J83" s="15" t="str"/>
      <x:c r="K83" s="15" t="str">
        <x:v>Facteur lineaire (AOD-744)/24 ajoute au calendrier; hypothese propre au prototype, pas equation institutionnelle; pas de validation independante.</x:v>
      </x:c>
    </x:row>
    <x:row r="84" ht="80" customHeight="1">
      <x:c r="A84" s="16" t="str">
        <x:v>SOURCE_CONTEXT</x:v>
      </x:c>
      <x:c r="B84" s="16" t="str">
        <x:v>all</x:v>
      </x:c>
      <x:c r="C84" s="16" t="str"/>
      <x:c r="D84" s="16" t="str">
        <x:v>INFO</x:v>
      </x:c>
      <x:c r="E84" s="17" t="n">
        <x:v>0</x:v>
      </x:c>
      <x:c r="F84" s="17" t="n">
        <x:v>0</x:v>
      </x:c>
      <x:c r="G84" s="19"/>
      <x:c r="H84" s="16" t="str"/>
      <x:c r="I84" s="16" t="str"/>
      <x:c r="J84" s="16" t="str"/>
      <x:c r="K84" s="16" t="str">
        <x:v>Comparaison des fichiers fournis; authenticite, mise a jour externe et validation Legifrance non verifiees dans ce lot.</x:v>
      </x:c>
    </x:row>
    <x:row r="85" ht="80" customHeight="1">
      <x:c r="A85" s="15" t="str">
        <x:v>LEGAL_EFFECTIVE_DATE</x:v>
      </x:c>
      <x:c r="B85" s="15" t="str">
        <x:v>legal_aod_dar.parquet</x:v>
      </x:c>
      <x:c r="C85" s="15" t="str"/>
      <x:c r="D85" s="15" t="str">
        <x:v>ALERTE</x:v>
      </x:c>
      <x:c r="E85" s="18" t="n">
        <x:v>0</x:v>
      </x:c>
      <x:c r="F85" s="18" t="n">
        <x:v>0</x:v>
      </x:c>
      <x:c r="G85" s="20"/>
      <x:c r="H85" s="15" t="str"/>
      <x:c r="I85" s="15" t="str"/>
      <x:c r="J85" s="15" t="str"/>
      <x:c r="K85" s="15" t="str">
        <x:v>Tab 1.4 indique une application aux liquidations a partir du 1er septembre 2026; le moteur applique sa table a toutes les dates et simule un benchmark des 2022. Date d effet a modeliser; aucun lissage ajoute.</x:v>
      </x:c>
    </x:row>
  </x:sheetData>
  <x:mergeCells>
    <x:mergeCell ref="A1:K2"/>
    <x:mergeCell ref="A3:K3"/>
  </x:mergeCells>
  <x:conditionalFormatting sqref="D6:D85">
    <x:cfRule type="expression" dxfId="0" priority="1">
      <x:formula>D6="ALERTE"</x:formula>
    </x:cfRule>
    <x:cfRule type="expression" dxfId="1" priority="2">
      <x:formula>D6="PARTIEL"</x:formula>
    </x:cfRule>
    <x:cfRule type="expression" dxfId="2" priority="3">
      <x:formula>D6="ECART"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35" hidden="0" customWidth="1"/>
    <x:col min="5" max="5" width="20" hidden="0" customWidth="1"/>
    <x:col min="6" max="6" width="48" hidden="0" customWidth="1"/>
    <x:col min="7" max="7" width="24" hidden="0" customWidth="1"/>
    <x:col min="8" max="8" width="36" hidden="0" customWidth="1"/>
    <x:col min="9" max="9" width="30" hidden="0" customWidth="1"/>
  </x:cols>
  <x:sheetData>
    <x:row r="1">
      <x:c r="A1" s="10" t="str">
        <x:v>CNAV 2024 : croisement observé</x:v>
      </x:c>
      <x:c r="B1" s="10"/>
      <x:c r="C1" s="10"/>
      <x:c r="D1" s="10"/>
      <x:c r="E1" s="10"/>
      <x:c r="F1" s="10"/>
      <x:c r="G1" s="10"/>
      <x:c r="H1" s="10"/>
      <x:c r="I1" s="10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</x:row>
    <x:row r="3" ht="36" customHeight="1">
      <x:c r="A3" s="12" t="str">
        <x:v>144 cellules. F + H = total ; T est conservé pour contrôle et ne doit pas être additionné. Classes absentes non imputées.</x:v>
      </x:c>
      <x:c r="B3" s="12"/>
      <x:c r="C3" s="12"/>
      <x:c r="D3" s="12"/>
      <x:c r="E3" s="12"/>
      <x:c r="F3" s="12"/>
      <x:c r="G3" s="12"/>
      <x:c r="H3" s="12"/>
      <x:c r="I3" s="12"/>
    </x:row>
    <x:row r="5" ht="32" customHeight="1">
      <x:c r="A5" s="14" t="str">
        <x:v>Année</x:v>
      </x:c>
      <x:c r="B5" s="14" t="str">
        <x:v>Sexe</x:v>
      </x:c>
      <x:c r="C5" s="14" t="str">
        <x:v>Âge source</x:v>
      </x:c>
      <x:c r="D5" s="14" t="str">
        <x:v>Groupe</x:v>
      </x:c>
      <x:c r="E5" s="14" t="str">
        <x:v>Effectif (personnes)</x:v>
      </x:c>
      <x:c r="F5" s="14" t="str">
        <x:v>Fichier source</x:v>
      </x:c>
      <x:c r="G5" s="14" t="str">
        <x:v>Feuille</x:v>
      </x:c>
      <x:c r="H5" s="14" t="str">
        <x:v>Lignes Excel source</x:v>
      </x:c>
      <x:c r="I5" s="14" t="str">
        <x:v>Statut</x:v>
      </x:c>
    </x:row>
    <x:row r="6" ht="54" customHeight="1">
      <x:c r="A6" s="16" t="n">
        <x:v>2024</x:v>
      </x:c>
      <x:c r="B6" s="16" t="str">
        <x:v>F</x:v>
      </x:c>
      <x:c r="C6" s="16" t="str">
        <x:v>55</x:v>
      </x:c>
      <x:c r="D6" s="16" t="str">
        <x:v>autres</x:v>
      </x:c>
      <x:c r="E6" s="17" t="n">
        <x:v>57</x:v>
      </x:c>
      <x:c r="F6" s="16" t="str">
        <x:v>data/sources/drees/62 EACR diffusée Part 2 - version du 26 mai 2026.xlsx</x:v>
      </x:c>
      <x:c r="G6" s="16" t="str">
        <x:v>H-Conditions_liq</x:v>
      </x:c>
      <x:c r="H6" s="16" t="str">
        <x:v>126430</x:v>
      </x:c>
      <x:c r="I6" s="16" t="str">
        <x:v>Observé regroupé, non actif</x:v>
      </x:c>
    </x:row>
    <x:row r="7" ht="54" customHeight="1">
      <x:c r="A7" s="15" t="n">
        <x:v>2024</x:v>
      </x:c>
      <x:c r="B7" s="15" t="str">
        <x:v>F</x:v>
      </x:c>
      <x:c r="C7" s="15" t="str">
        <x:v>55</x:v>
      </x:c>
      <x:c r="D7" s="15" t="str">
        <x:v>sante_invalidite_inaptitude</x:v>
      </x:c>
      <x:c r="E7" s="18" t="n">
        <x:v>2</x:v>
      </x:c>
      <x:c r="F7" s="15" t="str">
        <x:v>data/sources/drees/62 EACR diffusée Part 2 - version du 26 mai 2026.xlsx</x:v>
      </x:c>
      <x:c r="G7" s="15" t="str">
        <x:v>H-Conditions_liq</x:v>
      </x:c>
      <x:c r="H7" s="15" t="str">
        <x:v>126387</x:v>
      </x:c>
      <x:c r="I7" s="15" t="str">
        <x:v>Observé regroupé, non actif</x:v>
      </x:c>
    </x:row>
    <x:row r="8" ht="54" customHeight="1">
      <x:c r="A8" s="16" t="n">
        <x:v>2024</x:v>
      </x:c>
      <x:c r="B8" s="16" t="str">
        <x:v>F</x:v>
      </x:c>
      <x:c r="C8" s="16" t="str">
        <x:v>56</x:v>
      </x:c>
      <x:c r="D8" s="16" t="str">
        <x:v>autres</x:v>
      </x:c>
      <x:c r="E8" s="17" t="n">
        <x:v>87</x:v>
      </x:c>
      <x:c r="F8" s="16" t="str">
        <x:v>data/sources/drees/62 EACR diffusée Part 2 - version du 26 mai 2026.xlsx</x:v>
      </x:c>
      <x:c r="G8" s="16" t="str">
        <x:v>H-Conditions_liq</x:v>
      </x:c>
      <x:c r="H8" s="16" t="str">
        <x:v>126431</x:v>
      </x:c>
      <x:c r="I8" s="16" t="str">
        <x:v>Observé regroupé, non actif</x:v>
      </x:c>
    </x:row>
    <x:row r="9" ht="54" customHeight="1">
      <x:c r="A9" s="15" t="n">
        <x:v>2024</x:v>
      </x:c>
      <x:c r="B9" s="15" t="str">
        <x:v>F</x:v>
      </x:c>
      <x:c r="C9" s="15" t="str">
        <x:v>56</x:v>
      </x:c>
      <x:c r="D9" s="15" t="str">
        <x:v>sante_invalidite_inaptitude</x:v>
      </x:c>
      <x:c r="E9" s="18" t="n">
        <x:v>5</x:v>
      </x:c>
      <x:c r="F9" s="15" t="str">
        <x:v>data/sources/drees/62 EACR diffusée Part 2 - version du 26 mai 2026.xlsx</x:v>
      </x:c>
      <x:c r="G9" s="15" t="str">
        <x:v>H-Conditions_liq</x:v>
      </x:c>
      <x:c r="H9" s="15" t="str">
        <x:v>126388</x:v>
      </x:c>
      <x:c r="I9" s="15" t="str">
        <x:v>Observé regroupé, non actif</x:v>
      </x:c>
    </x:row>
    <x:row r="10" ht="54" customHeight="1">
      <x:c r="A10" s="16" t="n">
        <x:v>2024</x:v>
      </x:c>
      <x:c r="B10" s="16" t="str">
        <x:v>F</x:v>
      </x:c>
      <x:c r="C10" s="16" t="str">
        <x:v>57</x:v>
      </x:c>
      <x:c r="D10" s="16" t="str">
        <x:v>autres</x:v>
      </x:c>
      <x:c r="E10" s="17" t="n">
        <x:v>90</x:v>
      </x:c>
      <x:c r="F10" s="16" t="str">
        <x:v>data/sources/drees/62 EACR diffusée Part 2 - version du 26 mai 2026.xlsx</x:v>
      </x:c>
      <x:c r="G10" s="16" t="str">
        <x:v>H-Conditions_liq</x:v>
      </x:c>
      <x:c r="H10" s="16" t="str">
        <x:v>126432</x:v>
      </x:c>
      <x:c r="I10" s="16" t="str">
        <x:v>Observé regroupé, non actif</x:v>
      </x:c>
    </x:row>
    <x:row r="11" ht="54" customHeight="1">
      <x:c r="A11" s="15" t="n">
        <x:v>2024</x:v>
      </x:c>
      <x:c r="B11" s="15" t="str">
        <x:v>F</x:v>
      </x:c>
      <x:c r="C11" s="15" t="str">
        <x:v>57</x:v>
      </x:c>
      <x:c r="D11" s="15" t="str">
        <x:v>sante_invalidite_inaptitude</x:v>
      </x:c>
      <x:c r="E11" s="18" t="n">
        <x:v>4</x:v>
      </x:c>
      <x:c r="F11" s="15" t="str">
        <x:v>data/sources/drees/62 EACR diffusée Part 2 - version du 26 mai 2026.xlsx</x:v>
      </x:c>
      <x:c r="G11" s="15" t="str">
        <x:v>H-Conditions_liq</x:v>
      </x:c>
      <x:c r="H11" s="15" t="str">
        <x:v>126389</x:v>
      </x:c>
      <x:c r="I11" s="15" t="str">
        <x:v>Observé regroupé, non actif</x:v>
      </x:c>
    </x:row>
    <x:row r="12" ht="54" customHeight="1">
      <x:c r="A12" s="16" t="n">
        <x:v>2024</x:v>
      </x:c>
      <x:c r="B12" s="16" t="str">
        <x:v>F</x:v>
      </x:c>
      <x:c r="C12" s="16" t="str">
        <x:v>58</x:v>
      </x:c>
      <x:c r="D12" s="16" t="str">
        <x:v>autres</x:v>
      </x:c>
      <x:c r="E12" s="17" t="n">
        <x:v>100</x:v>
      </x:c>
      <x:c r="F12" s="16" t="str">
        <x:v>data/sources/drees/62 EACR diffusée Part 2 - version du 26 mai 2026.xlsx</x:v>
      </x:c>
      <x:c r="G12" s="16" t="str">
        <x:v>H-Conditions_liq</x:v>
      </x:c>
      <x:c r="H12" s="16" t="str">
        <x:v>126433</x:v>
      </x:c>
      <x:c r="I12" s="16" t="str">
        <x:v>Observé regroupé, non actif</x:v>
      </x:c>
    </x:row>
    <x:row r="13" ht="54" customHeight="1">
      <x:c r="A13" s="15" t="n">
        <x:v>2024</x:v>
      </x:c>
      <x:c r="B13" s="15" t="str">
        <x:v>F</x:v>
      </x:c>
      <x:c r="C13" s="15" t="str">
        <x:v>58</x:v>
      </x:c>
      <x:c r="D13" s="15" t="str">
        <x:v>carriere_longue</x:v>
      </x:c>
      <x:c r="E13" s="18" t="n">
        <x:v>4</x:v>
      </x:c>
      <x:c r="F13" s="15" t="str">
        <x:v>data/sources/drees/62 EACR diffusée Part 2 - version du 26 mai 2026.xlsx</x:v>
      </x:c>
      <x:c r="G13" s="15" t="str">
        <x:v>H-Conditions_liq</x:v>
      </x:c>
      <x:c r="H13" s="15" t="str">
        <x:v>126412</x:v>
      </x:c>
      <x:c r="I13" s="15" t="str">
        <x:v>Observé regroupé, non actif</x:v>
      </x:c>
    </x:row>
    <x:row r="14" ht="54" customHeight="1">
      <x:c r="A14" s="16" t="n">
        <x:v>2024</x:v>
      </x:c>
      <x:c r="B14" s="16" t="str">
        <x:v>F</x:v>
      </x:c>
      <x:c r="C14" s="16" t="str">
        <x:v>58</x:v>
      </x:c>
      <x:c r="D14" s="16" t="str">
        <x:v>sante_invalidite_inaptitude</x:v>
      </x:c>
      <x:c r="E14" s="17" t="n">
        <x:v>5</x:v>
      </x:c>
      <x:c r="F14" s="16" t="str">
        <x:v>data/sources/drees/62 EACR diffusée Part 2 - version du 26 mai 2026.xlsx</x:v>
      </x:c>
      <x:c r="G14" s="16" t="str">
        <x:v>H-Conditions_liq</x:v>
      </x:c>
      <x:c r="H14" s="16" t="str">
        <x:v>126390</x:v>
      </x:c>
      <x:c r="I14" s="16" t="str">
        <x:v>Observé regroupé, non actif</x:v>
      </x:c>
    </x:row>
    <x:row r="15" ht="54" customHeight="1">
      <x:c r="A15" s="15" t="n">
        <x:v>2024</x:v>
      </x:c>
      <x:c r="B15" s="15" t="str">
        <x:v>F</x:v>
      </x:c>
      <x:c r="C15" s="15" t="str">
        <x:v>59</x:v>
      </x:c>
      <x:c r="D15" s="15" t="str">
        <x:v>autres</x:v>
      </x:c>
      <x:c r="E15" s="18" t="n">
        <x:v>143</x:v>
      </x:c>
      <x:c r="F15" s="15" t="str">
        <x:v>data/sources/drees/62 EACR diffusée Part 2 - version du 26 mai 2026.xlsx</x:v>
      </x:c>
      <x:c r="G15" s="15" t="str">
        <x:v>H-Conditions_liq</x:v>
      </x:c>
      <x:c r="H15" s="15" t="str">
        <x:v>126434</x:v>
      </x:c>
      <x:c r="I15" s="15" t="str">
        <x:v>Observé regroupé, non actif</x:v>
      </x:c>
    </x:row>
    <x:row r="16" ht="54" customHeight="1">
      <x:c r="A16" s="16" t="n">
        <x:v>2024</x:v>
      </x:c>
      <x:c r="B16" s="16" t="str">
        <x:v>F</x:v>
      </x:c>
      <x:c r="C16" s="16" t="str">
        <x:v>59</x:v>
      </x:c>
      <x:c r="D16" s="16" t="str">
        <x:v>carriere_longue</x:v>
      </x:c>
      <x:c r="E16" s="17" t="n">
        <x:v>22</x:v>
      </x:c>
      <x:c r="F16" s="16" t="str">
        <x:v>data/sources/drees/62 EACR diffusée Part 2 - version du 26 mai 2026.xlsx</x:v>
      </x:c>
      <x:c r="G16" s="16" t="str">
        <x:v>H-Conditions_liq</x:v>
      </x:c>
      <x:c r="H16" s="16" t="str">
        <x:v>126413</x:v>
      </x:c>
      <x:c r="I16" s="16" t="str">
        <x:v>Observé regroupé, non actif</x:v>
      </x:c>
    </x:row>
    <x:row r="17" ht="54" customHeight="1">
      <x:c r="A17" s="15" t="n">
        <x:v>2024</x:v>
      </x:c>
      <x:c r="B17" s="15" t="str">
        <x:v>F</x:v>
      </x:c>
      <x:c r="C17" s="15" t="str">
        <x:v>59</x:v>
      </x:c>
      <x:c r="D17" s="15" t="str">
        <x:v>sante_invalidite_inaptitude</x:v>
      </x:c>
      <x:c r="E17" s="18" t="n">
        <x:v>6</x:v>
      </x:c>
      <x:c r="F17" s="15" t="str">
        <x:v>data/sources/drees/62 EACR diffusée Part 2 - version du 26 mai 2026.xlsx</x:v>
      </x:c>
      <x:c r="G17" s="15" t="str">
        <x:v>H-Conditions_liq</x:v>
      </x:c>
      <x:c r="H17" s="15" t="str">
        <x:v>126391</x:v>
      </x:c>
      <x:c r="I17" s="15" t="str">
        <x:v>Observé regroupé, non actif</x:v>
      </x:c>
    </x:row>
    <x:row r="18" ht="54" customHeight="1">
      <x:c r="A18" s="16" t="n">
        <x:v>2024</x:v>
      </x:c>
      <x:c r="B18" s="16" t="str">
        <x:v>F</x:v>
      </x:c>
      <x:c r="C18" s="16" t="str">
        <x:v>60</x:v>
      </x:c>
      <x:c r="D18" s="16" t="str">
        <x:v>autres</x:v>
      </x:c>
      <x:c r="E18" s="17" t="n">
        <x:v>184</x:v>
      </x:c>
      <x:c r="F18" s="16" t="str">
        <x:v>data/sources/drees/62 EACR diffusée Part 2 - version du 26 mai 2026.xlsx</x:v>
      </x:c>
      <x:c r="G18" s="16" t="str">
        <x:v>H-Conditions_liq</x:v>
      </x:c>
      <x:c r="H18" s="16" t="str">
        <x:v>126435</x:v>
      </x:c>
      <x:c r="I18" s="16" t="str">
        <x:v>Observé regroupé, non actif</x:v>
      </x:c>
    </x:row>
    <x:row r="19" ht="54" customHeight="1">
      <x:c r="A19" s="15" t="n">
        <x:v>2024</x:v>
      </x:c>
      <x:c r="B19" s="15" t="str">
        <x:v>F</x:v>
      </x:c>
      <x:c r="C19" s="15" t="str">
        <x:v>60</x:v>
      </x:c>
      <x:c r="D19" s="15" t="str">
        <x:v>carriere_longue</x:v>
      </x:c>
      <x:c r="E19" s="18" t="n">
        <x:v>6669</x:v>
      </x:c>
      <x:c r="F19" s="15" t="str">
        <x:v>data/sources/drees/62 EACR diffusée Part 2 - version du 26 mai 2026.xlsx</x:v>
      </x:c>
      <x:c r="G19" s="15" t="str">
        <x:v>H-Conditions_liq</x:v>
      </x:c>
      <x:c r="H19" s="15" t="str">
        <x:v>126414</x:v>
      </x:c>
      <x:c r="I19" s="15" t="str">
        <x:v>Observé regroupé, non actif</x:v>
      </x:c>
    </x:row>
    <x:row r="20" ht="54" customHeight="1">
      <x:c r="A20" s="16" t="n">
        <x:v>2024</x:v>
      </x:c>
      <x:c r="B20" s="16" t="str">
        <x:v>F</x:v>
      </x:c>
      <x:c r="C20" s="16" t="str">
        <x:v>60</x:v>
      </x:c>
      <x:c r="D20" s="16" t="str">
        <x:v>droit_commun</x:v>
      </x:c>
      <x:c r="E20" s="17" t="n">
        <x:v>5</x:v>
      </x:c>
      <x:c r="F20" s="16" t="str">
        <x:v>data/sources/drees/62 EACR diffusée Part 2 - version du 26 mai 2026.xlsx</x:v>
      </x:c>
      <x:c r="G20" s="16" t="str">
        <x:v>H-Conditions_liq</x:v>
      </x:c>
      <x:c r="H20" s="16" t="str">
        <x:v>126490</x:v>
      </x:c>
      <x:c r="I20" s="16" t="str">
        <x:v>Observé regroupé, non actif</x:v>
      </x:c>
    </x:row>
    <x:row r="21" ht="54" customHeight="1">
      <x:c r="A21" s="15" t="n">
        <x:v>2024</x:v>
      </x:c>
      <x:c r="B21" s="15" t="str">
        <x:v>F</x:v>
      </x:c>
      <x:c r="C21" s="15" t="str">
        <x:v>60</x:v>
      </x:c>
      <x:c r="D21" s="15" t="str">
        <x:v>sante_invalidite_inaptitude</x:v>
      </x:c>
      <x:c r="E21" s="18" t="n">
        <x:v>747</x:v>
      </x:c>
      <x:c r="F21" s="15" t="str">
        <x:v>data/sources/drees/62 EACR diffusée Part 2 - version du 26 mai 2026.xlsx</x:v>
      </x:c>
      <x:c r="G21" s="15" t="str">
        <x:v>H-Conditions_liq</x:v>
      </x:c>
      <x:c r="H21" s="15" t="str">
        <x:v>126269|126293|126392</x:v>
      </x:c>
      <x:c r="I21" s="15" t="str">
        <x:v>Observé regroupé, non actif</x:v>
      </x:c>
    </x:row>
    <x:row r="22" ht="54" customHeight="1">
      <x:c r="A22" s="16" t="n">
        <x:v>2024</x:v>
      </x:c>
      <x:c r="B22" s="16" t="str">
        <x:v>F</x:v>
      </x:c>
      <x:c r="C22" s="16" t="str">
        <x:v>61</x:v>
      </x:c>
      <x:c r="D22" s="16" t="str">
        <x:v>autres</x:v>
      </x:c>
      <x:c r="E22" s="17" t="n">
        <x:v>138</x:v>
      </x:c>
      <x:c r="F22" s="16" t="str">
        <x:v>data/sources/drees/62 EACR diffusée Part 2 - version du 26 mai 2026.xlsx</x:v>
      </x:c>
      <x:c r="G22" s="16" t="str">
        <x:v>H-Conditions_liq</x:v>
      </x:c>
      <x:c r="H22" s="16" t="str">
        <x:v>126436|126449</x:v>
      </x:c>
      <x:c r="I22" s="16" t="str">
        <x:v>Observé regroupé, non actif</x:v>
      </x:c>
    </x:row>
    <x:row r="23" ht="54" customHeight="1">
      <x:c r="A23" s="15" t="n">
        <x:v>2024</x:v>
      </x:c>
      <x:c r="B23" s="15" t="str">
        <x:v>F</x:v>
      </x:c>
      <x:c r="C23" s="15" t="str">
        <x:v>61</x:v>
      </x:c>
      <x:c r="D23" s="15" t="str">
        <x:v>carriere_longue</x:v>
      </x:c>
      <x:c r="E23" s="18" t="n">
        <x:v>16273</x:v>
      </x:c>
      <x:c r="F23" s="15" t="str">
        <x:v>data/sources/drees/62 EACR diffusée Part 2 - version du 26 mai 2026.xlsx</x:v>
      </x:c>
      <x:c r="G23" s="15" t="str">
        <x:v>H-Conditions_liq</x:v>
      </x:c>
      <x:c r="H23" s="15" t="str">
        <x:v>126415</x:v>
      </x:c>
      <x:c r="I23" s="15" t="str">
        <x:v>Observé regroupé, non actif</x:v>
      </x:c>
    </x:row>
    <x:row r="24" ht="54" customHeight="1">
      <x:c r="A24" s="16" t="n">
        <x:v>2024</x:v>
      </x:c>
      <x:c r="B24" s="16" t="str">
        <x:v>F</x:v>
      </x:c>
      <x:c r="C24" s="16" t="str">
        <x:v>61</x:v>
      </x:c>
      <x:c r="D24" s="16" t="str">
        <x:v>droit_commun</x:v>
      </x:c>
      <x:c r="E24" s="17" t="n">
        <x:v>6879</x:v>
      </x:c>
      <x:c r="F24" s="16" t="str">
        <x:v>data/sources/drees/62 EACR diffusée Part 2 - version du 26 mai 2026.xlsx</x:v>
      </x:c>
      <x:c r="G24" s="16" t="str">
        <x:v>H-Conditions_liq</x:v>
      </x:c>
      <x:c r="H24" s="16" t="str">
        <x:v>126491</x:v>
      </x:c>
      <x:c r="I24" s="16" t="str">
        <x:v>Observé regroupé, non actif</x:v>
      </x:c>
    </x:row>
    <x:row r="25" ht="54" customHeight="1">
      <x:c r="A25" s="15" t="n">
        <x:v>2024</x:v>
      </x:c>
      <x:c r="B25" s="15" t="str">
        <x:v>F</x:v>
      </x:c>
      <x:c r="C25" s="15" t="str">
        <x:v>61</x:v>
      </x:c>
      <x:c r="D25" s="15" t="str">
        <x:v>sante_invalidite_inaptitude</x:v>
      </x:c>
      <x:c r="E25" s="18" t="n">
        <x:v>775</x:v>
      </x:c>
      <x:c r="F25" s="15" t="str">
        <x:v>data/sources/drees/62 EACR diffusée Part 2 - version du 26 mai 2026.xlsx</x:v>
      </x:c>
      <x:c r="G25" s="15" t="str">
        <x:v>H-Conditions_liq</x:v>
      </x:c>
      <x:c r="H25" s="15" t="str">
        <x:v>126270|126294|126321|126393</x:v>
      </x:c>
      <x:c r="I25" s="15" t="str">
        <x:v>Observé regroupé, non actif</x:v>
      </x:c>
    </x:row>
    <x:row r="26" ht="54" customHeight="1">
      <x:c r="A26" s="16" t="n">
        <x:v>2024</x:v>
      </x:c>
      <x:c r="B26" s="16" t="str">
        <x:v>F</x:v>
      </x:c>
      <x:c r="C26" s="16" t="str">
        <x:v>62</x:v>
      </x:c>
      <x:c r="D26" s="16" t="str">
        <x:v>autres</x:v>
      </x:c>
      <x:c r="E26" s="17" t="n">
        <x:v>215</x:v>
      </x:c>
      <x:c r="F26" s="16" t="str">
        <x:v>data/sources/drees/62 EACR diffusée Part 2 - version du 26 mai 2026.xlsx</x:v>
      </x:c>
      <x:c r="G26" s="16" t="str">
        <x:v>H-Conditions_liq</x:v>
      </x:c>
      <x:c r="H26" s="16" t="str">
        <x:v>126437|126450</x:v>
      </x:c>
      <x:c r="I26" s="16" t="str">
        <x:v>Observé regroupé, non actif</x:v>
      </x:c>
    </x:row>
    <x:row r="27" ht="54" customHeight="1">
      <x:c r="A27" s="15" t="n">
        <x:v>2024</x:v>
      </x:c>
      <x:c r="B27" s="15" t="str">
        <x:v>F</x:v>
      </x:c>
      <x:c r="C27" s="15" t="str">
        <x:v>62</x:v>
      </x:c>
      <x:c r="D27" s="15" t="str">
        <x:v>carriere_longue</x:v>
      </x:c>
      <x:c r="E27" s="18" t="n">
        <x:v>11372</x:v>
      </x:c>
      <x:c r="F27" s="15" t="str">
        <x:v>data/sources/drees/62 EACR diffusée Part 2 - version du 26 mai 2026.xlsx</x:v>
      </x:c>
      <x:c r="G27" s="15" t="str">
        <x:v>H-Conditions_liq</x:v>
      </x:c>
      <x:c r="H27" s="15" t="str">
        <x:v>126416</x:v>
      </x:c>
      <x:c r="I27" s="15" t="str">
        <x:v>Observé regroupé, non actif</x:v>
      </x:c>
    </x:row>
    <x:row r="28" ht="54" customHeight="1">
      <x:c r="A28" s="16" t="n">
        <x:v>2024</x:v>
      </x:c>
      <x:c r="B28" s="16" t="str">
        <x:v>F</x:v>
      </x:c>
      <x:c r="C28" s="16" t="str">
        <x:v>62</x:v>
      </x:c>
      <x:c r="D28" s="16" t="str">
        <x:v>droit_commun</x:v>
      </x:c>
      <x:c r="E28" s="17" t="n">
        <x:v>42176</x:v>
      </x:c>
      <x:c r="F28" s="16" t="str">
        <x:v>data/sources/drees/62 EACR diffusée Part 2 - version du 26 mai 2026.xlsx</x:v>
      </x:c>
      <x:c r="G28" s="16" t="str">
        <x:v>H-Conditions_liq</x:v>
      </x:c>
      <x:c r="H28" s="16" t="str">
        <x:v>126492</x:v>
      </x:c>
      <x:c r="I28" s="16" t="str">
        <x:v>Observé regroupé, non actif</x:v>
      </x:c>
    </x:row>
    <x:row r="29" ht="54" customHeight="1">
      <x:c r="A29" s="15" t="n">
        <x:v>2024</x:v>
      </x:c>
      <x:c r="B29" s="15" t="str">
        <x:v>F</x:v>
      </x:c>
      <x:c r="C29" s="15" t="str">
        <x:v>62</x:v>
      </x:c>
      <x:c r="D29" s="15" t="str">
        <x:v>sante_invalidite_inaptitude</x:v>
      </x:c>
      <x:c r="E29" s="18" t="n">
        <x:v>50673</x:v>
      </x:c>
      <x:c r="F29" s="15" t="str">
        <x:v>data/sources/drees/62 EACR diffusée Part 2 - version du 26 mai 2026.xlsx</x:v>
      </x:c>
      <x:c r="G29" s="15" t="str">
        <x:v>H-Conditions_liq</x:v>
      </x:c>
      <x:c r="H29" s="15" t="str">
        <x:v>126271|126295|126322|126351|126394</x:v>
      </x:c>
      <x:c r="I29" s="15" t="str">
        <x:v>Observé regroupé, non actif</x:v>
      </x:c>
    </x:row>
    <x:row r="30" ht="54" customHeight="1">
      <x:c r="A30" s="16" t="n">
        <x:v>2024</x:v>
      </x:c>
      <x:c r="B30" s="16" t="str">
        <x:v>F</x:v>
      </x:c>
      <x:c r="C30" s="16" t="str">
        <x:v>63</x:v>
      </x:c>
      <x:c r="D30" s="16" t="str">
        <x:v>autres</x:v>
      </x:c>
      <x:c r="E30" s="17" t="n">
        <x:v>110</x:v>
      </x:c>
      <x:c r="F30" s="16" t="str">
        <x:v>data/sources/drees/62 EACR diffusée Part 2 - version du 26 mai 2026.xlsx</x:v>
      </x:c>
      <x:c r="G30" s="16" t="str">
        <x:v>H-Conditions_liq</x:v>
      </x:c>
      <x:c r="H30" s="16" t="str">
        <x:v>126438|126451</x:v>
      </x:c>
      <x:c r="I30" s="16" t="str">
        <x:v>Observé regroupé, non actif</x:v>
      </x:c>
    </x:row>
    <x:row r="31" ht="54" customHeight="1">
      <x:c r="A31" s="15" t="n">
        <x:v>2024</x:v>
      </x:c>
      <x:c r="B31" s="15" t="str">
        <x:v>F</x:v>
      </x:c>
      <x:c r="C31" s="15" t="str">
        <x:v>63</x:v>
      </x:c>
      <x:c r="D31" s="15" t="str">
        <x:v>carriere_longue</x:v>
      </x:c>
      <x:c r="E31" s="18" t="n">
        <x:v>648</x:v>
      </x:c>
      <x:c r="F31" s="15" t="str">
        <x:v>data/sources/drees/62 EACR diffusée Part 2 - version du 26 mai 2026.xlsx</x:v>
      </x:c>
      <x:c r="G31" s="15" t="str">
        <x:v>H-Conditions_liq</x:v>
      </x:c>
      <x:c r="H31" s="15" t="str">
        <x:v>126417</x:v>
      </x:c>
      <x:c r="I31" s="15" t="str">
        <x:v>Observé regroupé, non actif</x:v>
      </x:c>
    </x:row>
    <x:row r="32" ht="54" customHeight="1">
      <x:c r="A32" s="16" t="n">
        <x:v>2024</x:v>
      </x:c>
      <x:c r="B32" s="16" t="str">
        <x:v>F</x:v>
      </x:c>
      <x:c r="C32" s="16" t="str">
        <x:v>63</x:v>
      </x:c>
      <x:c r="D32" s="16" t="str">
        <x:v>droit_commun</x:v>
      </x:c>
      <x:c r="E32" s="17" t="n">
        <x:v>65162</x:v>
      </x:c>
      <x:c r="F32" s="16" t="str">
        <x:v>data/sources/drees/62 EACR diffusée Part 2 - version du 26 mai 2026.xlsx</x:v>
      </x:c>
      <x:c r="G32" s="16" t="str">
        <x:v>H-Conditions_liq</x:v>
      </x:c>
      <x:c r="H32" s="16" t="str">
        <x:v>126493</x:v>
      </x:c>
      <x:c r="I32" s="16" t="str">
        <x:v>Observé regroupé, non actif</x:v>
      </x:c>
    </x:row>
    <x:row r="33" ht="54" customHeight="1">
      <x:c r="A33" s="15" t="n">
        <x:v>2024</x:v>
      </x:c>
      <x:c r="B33" s="15" t="str">
        <x:v>F</x:v>
      </x:c>
      <x:c r="C33" s="15" t="str">
        <x:v>63</x:v>
      </x:c>
      <x:c r="D33" s="15" t="str">
        <x:v>sante_invalidite_inaptitude</x:v>
      </x:c>
      <x:c r="E33" s="18" t="n">
        <x:v>9457</x:v>
      </x:c>
      <x:c r="F33" s="15" t="str">
        <x:v>data/sources/drees/62 EACR diffusée Part 2 - version du 26 mai 2026.xlsx</x:v>
      </x:c>
      <x:c r="G33" s="15" t="str">
        <x:v>H-Conditions_liq</x:v>
      </x:c>
      <x:c r="H33" s="15" t="str">
        <x:v>126272|126296|126323|126352|126395</x:v>
      </x:c>
      <x:c r="I33" s="15" t="str">
        <x:v>Observé regroupé, non actif</x:v>
      </x:c>
    </x:row>
    <x:row r="34" ht="54" customHeight="1">
      <x:c r="A34" s="16" t="n">
        <x:v>2024</x:v>
      </x:c>
      <x:c r="B34" s="16" t="str">
        <x:v>F</x:v>
      </x:c>
      <x:c r="C34" s="16" t="str">
        <x:v>64</x:v>
      </x:c>
      <x:c r="D34" s="16" t="str">
        <x:v>autres</x:v>
      </x:c>
      <x:c r="E34" s="17" t="n">
        <x:v>42</x:v>
      </x:c>
      <x:c r="F34" s="16" t="str">
        <x:v>data/sources/drees/62 EACR diffusée Part 2 - version du 26 mai 2026.xlsx</x:v>
      </x:c>
      <x:c r="G34" s="16" t="str">
        <x:v>H-Conditions_liq</x:v>
      </x:c>
      <x:c r="H34" s="16" t="str">
        <x:v>126452</x:v>
      </x:c>
      <x:c r="I34" s="16" t="str">
        <x:v>Observé regroupé, non actif</x:v>
      </x:c>
    </x:row>
    <x:row r="35" ht="54" customHeight="1">
      <x:c r="A35" s="15" t="n">
        <x:v>2024</x:v>
      </x:c>
      <x:c r="B35" s="15" t="str">
        <x:v>F</x:v>
      </x:c>
      <x:c r="C35" s="15" t="str">
        <x:v>64</x:v>
      </x:c>
      <x:c r="D35" s="15" t="str">
        <x:v>droit_commun</x:v>
      </x:c>
      <x:c r="E35" s="18" t="n">
        <x:v>24141</x:v>
      </x:c>
      <x:c r="F35" s="15" t="str">
        <x:v>data/sources/drees/62 EACR diffusée Part 2 - version du 26 mai 2026.xlsx</x:v>
      </x:c>
      <x:c r="G35" s="15" t="str">
        <x:v>H-Conditions_liq</x:v>
      </x:c>
      <x:c r="H35" s="15" t="str">
        <x:v>126494</x:v>
      </x:c>
      <x:c r="I35" s="15" t="str">
        <x:v>Observé regroupé, non actif</x:v>
      </x:c>
    </x:row>
    <x:row r="36" ht="54" customHeight="1">
      <x:c r="A36" s="16" t="n">
        <x:v>2024</x:v>
      </x:c>
      <x:c r="B36" s="16" t="str">
        <x:v>F</x:v>
      </x:c>
      <x:c r="C36" s="16" t="str">
        <x:v>64</x:v>
      </x:c>
      <x:c r="D36" s="16" t="str">
        <x:v>sante_invalidite_inaptitude</x:v>
      </x:c>
      <x:c r="E36" s="17" t="n">
        <x:v>2462</x:v>
      </x:c>
      <x:c r="F36" s="16" t="str">
        <x:v>data/sources/drees/62 EACR diffusée Part 2 - version du 26 mai 2026.xlsx</x:v>
      </x:c>
      <x:c r="G36" s="16" t="str">
        <x:v>H-Conditions_liq</x:v>
      </x:c>
      <x:c r="H36" s="16" t="str">
        <x:v>126273|126297|126324|126353|126396</x:v>
      </x:c>
      <x:c r="I36" s="16" t="str">
        <x:v>Observé regroupé, non actif</x:v>
      </x:c>
    </x:row>
    <x:row r="37" ht="54" customHeight="1">
      <x:c r="A37" s="15" t="n">
        <x:v>2024</x:v>
      </x:c>
      <x:c r="B37" s="15" t="str">
        <x:v>F</x:v>
      </x:c>
      <x:c r="C37" s="15" t="str">
        <x:v>65</x:v>
      </x:c>
      <x:c r="D37" s="15" t="str">
        <x:v>autres</x:v>
      </x:c>
      <x:c r="E37" s="18" t="n">
        <x:v>111</x:v>
      </x:c>
      <x:c r="F37" s="15" t="str">
        <x:v>data/sources/drees/62 EACR diffusée Part 2 - version du 26 mai 2026.xlsx</x:v>
      </x:c>
      <x:c r="G37" s="15" t="str">
        <x:v>H-Conditions_liq</x:v>
      </x:c>
      <x:c r="H37" s="15" t="str">
        <x:v>126439|126453</x:v>
      </x:c>
      <x:c r="I37" s="15" t="str">
        <x:v>Observé regroupé, non actif</x:v>
      </x:c>
    </x:row>
    <x:row r="38" ht="54" customHeight="1">
      <x:c r="A38" s="16" t="n">
        <x:v>2024</x:v>
      </x:c>
      <x:c r="B38" s="16" t="str">
        <x:v>F</x:v>
      </x:c>
      <x:c r="C38" s="16" t="str">
        <x:v>65</x:v>
      </x:c>
      <x:c r="D38" s="16" t="str">
        <x:v>droit_commun</x:v>
      </x:c>
      <x:c r="E38" s="17" t="n">
        <x:v>21443</x:v>
      </x:c>
      <x:c r="F38" s="16" t="str">
        <x:v>data/sources/drees/62 EACR diffusée Part 2 - version du 26 mai 2026.xlsx</x:v>
      </x:c>
      <x:c r="G38" s="16" t="str">
        <x:v>H-Conditions_liq</x:v>
      </x:c>
      <x:c r="H38" s="16" t="str">
        <x:v>126495</x:v>
      </x:c>
      <x:c r="I38" s="16" t="str">
        <x:v>Observé regroupé, non actif</x:v>
      </x:c>
    </x:row>
    <x:row r="39" ht="54" customHeight="1">
      <x:c r="A39" s="15" t="n">
        <x:v>2024</x:v>
      </x:c>
      <x:c r="B39" s="15" t="str">
        <x:v>F</x:v>
      </x:c>
      <x:c r="C39" s="15" t="str">
        <x:v>65</x:v>
      </x:c>
      <x:c r="D39" s="15" t="str">
        <x:v>sante_invalidite_inaptitude</x:v>
      </x:c>
      <x:c r="E39" s="18" t="n">
        <x:v>2103</x:v>
      </x:c>
      <x:c r="F39" s="15" t="str">
        <x:v>data/sources/drees/62 EACR diffusée Part 2 - version du 26 mai 2026.xlsx</x:v>
      </x:c>
      <x:c r="G39" s="15" t="str">
        <x:v>H-Conditions_liq</x:v>
      </x:c>
      <x:c r="H39" s="15" t="str">
        <x:v>126274|126298|126325|126354|126397</x:v>
      </x:c>
      <x:c r="I39" s="15" t="str">
        <x:v>Observé regroupé, non actif</x:v>
      </x:c>
    </x:row>
    <x:row r="40" ht="54" customHeight="1">
      <x:c r="A40" s="16" t="n">
        <x:v>2024</x:v>
      </x:c>
      <x:c r="B40" s="16" t="str">
        <x:v>F</x:v>
      </x:c>
      <x:c r="C40" s="16" t="str">
        <x:v>66</x:v>
      </x:c>
      <x:c r="D40" s="16" t="str">
        <x:v>autres</x:v>
      </x:c>
      <x:c r="E40" s="17" t="n">
        <x:v>71</x:v>
      </x:c>
      <x:c r="F40" s="16" t="str">
        <x:v>data/sources/drees/62 EACR diffusée Part 2 - version du 26 mai 2026.xlsx</x:v>
      </x:c>
      <x:c r="G40" s="16" t="str">
        <x:v>H-Conditions_liq</x:v>
      </x:c>
      <x:c r="H40" s="16" t="str">
        <x:v>126454</x:v>
      </x:c>
      <x:c r="I40" s="16" t="str">
        <x:v>Observé regroupé, non actif</x:v>
      </x:c>
    </x:row>
    <x:row r="41" ht="54" customHeight="1">
      <x:c r="A41" s="15" t="n">
        <x:v>2024</x:v>
      </x:c>
      <x:c r="B41" s="15" t="str">
        <x:v>F</x:v>
      </x:c>
      <x:c r="C41" s="15" t="str">
        <x:v>66</x:v>
      </x:c>
      <x:c r="D41" s="15" t="str">
        <x:v>droit_commun</x:v>
      </x:c>
      <x:c r="E41" s="18" t="n">
        <x:v>13435</x:v>
      </x:c>
      <x:c r="F41" s="15" t="str">
        <x:v>data/sources/drees/62 EACR diffusée Part 2 - version du 26 mai 2026.xlsx</x:v>
      </x:c>
      <x:c r="G41" s="15" t="str">
        <x:v>H-Conditions_liq</x:v>
      </x:c>
      <x:c r="H41" s="15" t="str">
        <x:v>126496</x:v>
      </x:c>
      <x:c r="I41" s="15" t="str">
        <x:v>Observé regroupé, non actif</x:v>
      </x:c>
    </x:row>
    <x:row r="42" ht="54" customHeight="1">
      <x:c r="A42" s="16" t="n">
        <x:v>2024</x:v>
      </x:c>
      <x:c r="B42" s="16" t="str">
        <x:v>F</x:v>
      </x:c>
      <x:c r="C42" s="16" t="str">
        <x:v>66</x:v>
      </x:c>
      <x:c r="D42" s="16" t="str">
        <x:v>sante_invalidite_inaptitude</x:v>
      </x:c>
      <x:c r="E42" s="17" t="n">
        <x:v>1254</x:v>
      </x:c>
      <x:c r="F42" s="16" t="str">
        <x:v>data/sources/drees/62 EACR diffusée Part 2 - version du 26 mai 2026.xlsx</x:v>
      </x:c>
      <x:c r="G42" s="16" t="str">
        <x:v>H-Conditions_liq</x:v>
      </x:c>
      <x:c r="H42" s="16" t="str">
        <x:v>126275|126299|126326|126355|126398</x:v>
      </x:c>
      <x:c r="I42" s="16" t="str">
        <x:v>Observé regroupé, non actif</x:v>
      </x:c>
    </x:row>
    <x:row r="43" ht="54" customHeight="1">
      <x:c r="A43" s="15" t="n">
        <x:v>2024</x:v>
      </x:c>
      <x:c r="B43" s="15" t="str">
        <x:v>F</x:v>
      </x:c>
      <x:c r="C43" s="15" t="str">
        <x:v>67</x:v>
      </x:c>
      <x:c r="D43" s="15" t="str">
        <x:v>autres</x:v>
      </x:c>
      <x:c r="E43" s="18" t="n">
        <x:v>26</x:v>
      </x:c>
      <x:c r="F43" s="15" t="str">
        <x:v>data/sources/drees/62 EACR diffusée Part 2 - version du 26 mai 2026.xlsx</x:v>
      </x:c>
      <x:c r="G43" s="15" t="str">
        <x:v>H-Conditions_liq</x:v>
      </x:c>
      <x:c r="H43" s="15" t="str">
        <x:v>126455</x:v>
      </x:c>
      <x:c r="I43" s="15" t="str">
        <x:v>Observé regroupé, non actif</x:v>
      </x:c>
    </x:row>
    <x:row r="44" ht="54" customHeight="1">
      <x:c r="A44" s="16" t="n">
        <x:v>2024</x:v>
      </x:c>
      <x:c r="B44" s="16" t="str">
        <x:v>F</x:v>
      </x:c>
      <x:c r="C44" s="16" t="str">
        <x:v>67</x:v>
      </x:c>
      <x:c r="D44" s="16" t="str">
        <x:v>droit_commun</x:v>
      </x:c>
      <x:c r="E44" s="17" t="n">
        <x:v>36066</x:v>
      </x:c>
      <x:c r="F44" s="16" t="str">
        <x:v>data/sources/drees/62 EACR diffusée Part 2 - version du 26 mai 2026.xlsx</x:v>
      </x:c>
      <x:c r="G44" s="16" t="str">
        <x:v>H-Conditions_liq</x:v>
      </x:c>
      <x:c r="H44" s="16" t="str">
        <x:v>126497</x:v>
      </x:c>
      <x:c r="I44" s="16" t="str">
        <x:v>Observé regroupé, non actif</x:v>
      </x:c>
    </x:row>
    <x:row r="45" ht="54" customHeight="1">
      <x:c r="A45" s="15" t="n">
        <x:v>2024</x:v>
      </x:c>
      <x:c r="B45" s="15" t="str">
        <x:v>F</x:v>
      </x:c>
      <x:c r="C45" s="15" t="str">
        <x:v>67</x:v>
      </x:c>
      <x:c r="D45" s="15" t="str">
        <x:v>sante_invalidite_inaptitude</x:v>
      </x:c>
      <x:c r="E45" s="18" t="n">
        <x:v>704</x:v>
      </x:c>
      <x:c r="F45" s="15" t="str">
        <x:v>data/sources/drees/62 EACR diffusée Part 2 - version du 26 mai 2026.xlsx</x:v>
      </x:c>
      <x:c r="G45" s="15" t="str">
        <x:v>H-Conditions_liq</x:v>
      </x:c>
      <x:c r="H45" s="15" t="str">
        <x:v>126300|126327|126356|126399</x:v>
      </x:c>
      <x:c r="I45" s="15" t="str">
        <x:v>Observé regroupé, non actif</x:v>
      </x:c>
    </x:row>
    <x:row r="46" ht="54" customHeight="1">
      <x:c r="A46" s="16" t="n">
        <x:v>2024</x:v>
      </x:c>
      <x:c r="B46" s="16" t="str">
        <x:v>F</x:v>
      </x:c>
      <x:c r="C46" s="16" t="str">
        <x:v>68</x:v>
      </x:c>
      <x:c r="D46" s="16" t="str">
        <x:v>droit_commun</x:v>
      </x:c>
      <x:c r="E46" s="17" t="n">
        <x:v>10913</x:v>
      </x:c>
      <x:c r="F46" s="16" t="str">
        <x:v>data/sources/drees/62 EACR diffusée Part 2 - version du 26 mai 2026.xlsx</x:v>
      </x:c>
      <x:c r="G46" s="16" t="str">
        <x:v>H-Conditions_liq</x:v>
      </x:c>
      <x:c r="H46" s="16" t="str">
        <x:v>126498</x:v>
      </x:c>
      <x:c r="I46" s="16" t="str">
        <x:v>Observé regroupé, non actif</x:v>
      </x:c>
    </x:row>
    <x:row r="47" ht="54" customHeight="1">
      <x:c r="A47" s="15" t="n">
        <x:v>2024</x:v>
      </x:c>
      <x:c r="B47" s="15" t="str">
        <x:v>F</x:v>
      </x:c>
      <x:c r="C47" s="15" t="str">
        <x:v>68</x:v>
      </x:c>
      <x:c r="D47" s="15" t="str">
        <x:v>sante_invalidite_inaptitude</x:v>
      </x:c>
      <x:c r="E47" s="18" t="n">
        <x:v>67</x:v>
      </x:c>
      <x:c r="F47" s="15" t="str">
        <x:v>data/sources/drees/62 EACR diffusée Part 2 - version du 26 mai 2026.xlsx</x:v>
      </x:c>
      <x:c r="G47" s="15" t="str">
        <x:v>H-Conditions_liq</x:v>
      </x:c>
      <x:c r="H47" s="15" t="str">
        <x:v>126328|126357|126400</x:v>
      </x:c>
      <x:c r="I47" s="15" t="str">
        <x:v>Observé regroupé, non actif</x:v>
      </x:c>
    </x:row>
    <x:row r="48" ht="54" customHeight="1">
      <x:c r="A48" s="16" t="n">
        <x:v>2024</x:v>
      </x:c>
      <x:c r="B48" s="16" t="str">
        <x:v>F</x:v>
      </x:c>
      <x:c r="C48" s="16" t="str">
        <x:v>69</x:v>
      </x:c>
      <x:c r="D48" s="16" t="str">
        <x:v>droit_commun</x:v>
      </x:c>
      <x:c r="E48" s="17" t="n">
        <x:v>3411</x:v>
      </x:c>
      <x:c r="F48" s="16" t="str">
        <x:v>data/sources/drees/62 EACR diffusée Part 2 - version du 26 mai 2026.xlsx</x:v>
      </x:c>
      <x:c r="G48" s="16" t="str">
        <x:v>H-Conditions_liq</x:v>
      </x:c>
      <x:c r="H48" s="16" t="str">
        <x:v>126499</x:v>
      </x:c>
      <x:c r="I48" s="16" t="str">
        <x:v>Observé regroupé, non actif</x:v>
      </x:c>
    </x:row>
    <x:row r="49" ht="54" customHeight="1">
      <x:c r="A49" s="15" t="n">
        <x:v>2024</x:v>
      </x:c>
      <x:c r="B49" s="15" t="str">
        <x:v>F</x:v>
      </x:c>
      <x:c r="C49" s="15" t="str">
        <x:v>69</x:v>
      </x:c>
      <x:c r="D49" s="15" t="str">
        <x:v>sante_invalidite_inaptitude</x:v>
      </x:c>
      <x:c r="E49" s="18" t="n">
        <x:v>14</x:v>
      </x:c>
      <x:c r="F49" s="15" t="str">
        <x:v>data/sources/drees/62 EACR diffusée Part 2 - version du 26 mai 2026.xlsx</x:v>
      </x:c>
      <x:c r="G49" s="15" t="str">
        <x:v>H-Conditions_liq</x:v>
      </x:c>
      <x:c r="H49" s="15" t="str">
        <x:v>126276|126329|126358|126401</x:v>
      </x:c>
      <x:c r="I49" s="15" t="str">
        <x:v>Observé regroupé, non actif</x:v>
      </x:c>
    </x:row>
    <x:row r="50" ht="54" customHeight="1">
      <x:c r="A50" s="16" t="n">
        <x:v>2024</x:v>
      </x:c>
      <x:c r="B50" s="16" t="str">
        <x:v>F</x:v>
      </x:c>
      <x:c r="C50" s="16" t="str">
        <x:v>70</x:v>
      </x:c>
      <x:c r="D50" s="16" t="str">
        <x:v>droit_commun</x:v>
      </x:c>
      <x:c r="E50" s="17" t="n">
        <x:v>2281</x:v>
      </x:c>
      <x:c r="F50" s="16" t="str">
        <x:v>data/sources/drees/62 EACR diffusée Part 2 - version du 26 mai 2026.xlsx</x:v>
      </x:c>
      <x:c r="G50" s="16" t="str">
        <x:v>H-Conditions_liq</x:v>
      </x:c>
      <x:c r="H50" s="16" t="str">
        <x:v>126500</x:v>
      </x:c>
      <x:c r="I50" s="16" t="str">
        <x:v>Observé regroupé, non actif</x:v>
      </x:c>
    </x:row>
    <x:row r="51" ht="54" customHeight="1">
      <x:c r="A51" s="15" t="n">
        <x:v>2024</x:v>
      </x:c>
      <x:c r="B51" s="15" t="str">
        <x:v>F</x:v>
      </x:c>
      <x:c r="C51" s="15" t="str">
        <x:v>70</x:v>
      </x:c>
      <x:c r="D51" s="15" t="str">
        <x:v>sante_invalidite_inaptitude</x:v>
      </x:c>
      <x:c r="E51" s="18" t="n">
        <x:v>5</x:v>
      </x:c>
      <x:c r="F51" s="15" t="str">
        <x:v>data/sources/drees/62 EACR diffusée Part 2 - version du 26 mai 2026.xlsx</x:v>
      </x:c>
      <x:c r="G51" s="15" t="str">
        <x:v>H-Conditions_liq</x:v>
      </x:c>
      <x:c r="H51" s="15" t="str">
        <x:v>126330|126402</x:v>
      </x:c>
      <x:c r="I51" s="15" t="str">
        <x:v>Observé regroupé, non actif</x:v>
      </x:c>
    </x:row>
    <x:row r="52" ht="54" customHeight="1">
      <x:c r="A52" s="16" t="n">
        <x:v>2024</x:v>
      </x:c>
      <x:c r="B52" s="16" t="str">
        <x:v>F</x:v>
      </x:c>
      <x:c r="C52" s="16" t="str">
        <x:v>&gt;70</x:v>
      </x:c>
      <x:c r="D52" s="16" t="str">
        <x:v>droit_commun</x:v>
      </x:c>
      <x:c r="E52" s="17" t="n">
        <x:v>9067</x:v>
      </x:c>
      <x:c r="F52" s="16" t="str">
        <x:v>data/sources/drees/62 EACR diffusée Part 2 - version du 26 mai 2026.xlsx</x:v>
      </x:c>
      <x:c r="G52" s="16" t="str">
        <x:v>H-Conditions_liq</x:v>
      </x:c>
      <x:c r="H52" s="16" t="str">
        <x:v>126501</x:v>
      </x:c>
      <x:c r="I52" s="16" t="str">
        <x:v>Observé regroupé, non actif</x:v>
      </x:c>
    </x:row>
    <x:row r="53" ht="54" customHeight="1">
      <x:c r="A53" s="15" t="n">
        <x:v>2024</x:v>
      </x:c>
      <x:c r="B53" s="15" t="str">
        <x:v>F</x:v>
      </x:c>
      <x:c r="C53" s="15" t="str">
        <x:v>&gt;70</x:v>
      </x:c>
      <x:c r="D53" s="15" t="str">
        <x:v>sante_invalidite_inaptitude</x:v>
      </x:c>
      <x:c r="E53" s="18" t="n">
        <x:v>16</x:v>
      </x:c>
      <x:c r="F53" s="15" t="str">
        <x:v>data/sources/drees/62 EACR diffusée Part 2 - version du 26 mai 2026.xlsx</x:v>
      </x:c>
      <x:c r="G53" s="15" t="str">
        <x:v>H-Conditions_liq</x:v>
      </x:c>
      <x:c r="H53" s="15" t="str">
        <x:v>126359|126403</x:v>
      </x:c>
      <x:c r="I53" s="15" t="str">
        <x:v>Observé regroupé, non actif</x:v>
      </x:c>
    </x:row>
    <x:row r="54" ht="54" customHeight="1">
      <x:c r="A54" s="16" t="n">
        <x:v>2024</x:v>
      </x:c>
      <x:c r="B54" s="16" t="str">
        <x:v>H</x:v>
      </x:c>
      <x:c r="C54" s="16" t="str">
        <x:v>55</x:v>
      </x:c>
      <x:c r="D54" s="16" t="str">
        <x:v>autres</x:v>
      </x:c>
      <x:c r="E54" s="17" t="n">
        <x:v>119</x:v>
      </x:c>
      <x:c r="F54" s="16" t="str">
        <x:v>data/sources/drees/62 EACR diffusée Part 2 - version du 26 mai 2026.xlsx</x:v>
      </x:c>
      <x:c r="G54" s="16" t="str">
        <x:v>H-Conditions_liq</x:v>
      </x:c>
      <x:c r="H54" s="16" t="str">
        <x:v>128114</x:v>
      </x:c>
      <x:c r="I54" s="16" t="str">
        <x:v>Observé regroupé, non actif</x:v>
      </x:c>
    </x:row>
    <x:row r="55" ht="54" customHeight="1">
      <x:c r="A55" s="15" t="n">
        <x:v>2024</x:v>
      </x:c>
      <x:c r="B55" s="15" t="str">
        <x:v>H</x:v>
      </x:c>
      <x:c r="C55" s="15" t="str">
        <x:v>55</x:v>
      </x:c>
      <x:c r="D55" s="15" t="str">
        <x:v>sante_invalidite_inaptitude</x:v>
      </x:c>
      <x:c r="E55" s="18" t="n">
        <x:v>6</x:v>
      </x:c>
      <x:c r="F55" s="15" t="str">
        <x:v>data/sources/drees/62 EACR diffusée Part 2 - version du 26 mai 2026.xlsx</x:v>
      </x:c>
      <x:c r="G55" s="15" t="str">
        <x:v>H-Conditions_liq</x:v>
      </x:c>
      <x:c r="H55" s="15" t="str">
        <x:v>128072</x:v>
      </x:c>
      <x:c r="I55" s="15" t="str">
        <x:v>Observé regroupé, non actif</x:v>
      </x:c>
    </x:row>
    <x:row r="56" ht="54" customHeight="1">
      <x:c r="A56" s="16" t="n">
        <x:v>2024</x:v>
      </x:c>
      <x:c r="B56" s="16" t="str">
        <x:v>H</x:v>
      </x:c>
      <x:c r="C56" s="16" t="str">
        <x:v>56</x:v>
      </x:c>
      <x:c r="D56" s="16" t="str">
        <x:v>autres</x:v>
      </x:c>
      <x:c r="E56" s="17" t="n">
        <x:v>148</x:v>
      </x:c>
      <x:c r="F56" s="16" t="str">
        <x:v>data/sources/drees/62 EACR diffusée Part 2 - version du 26 mai 2026.xlsx</x:v>
      </x:c>
      <x:c r="G56" s="16" t="str">
        <x:v>H-Conditions_liq</x:v>
      </x:c>
      <x:c r="H56" s="16" t="str">
        <x:v>128115</x:v>
      </x:c>
      <x:c r="I56" s="16" t="str">
        <x:v>Observé regroupé, non actif</x:v>
      </x:c>
    </x:row>
    <x:row r="57" ht="54" customHeight="1">
      <x:c r="A57" s="15" t="n">
        <x:v>2024</x:v>
      </x:c>
      <x:c r="B57" s="15" t="str">
        <x:v>H</x:v>
      </x:c>
      <x:c r="C57" s="15" t="str">
        <x:v>56</x:v>
      </x:c>
      <x:c r="D57" s="15" t="str">
        <x:v>sante_invalidite_inaptitude</x:v>
      </x:c>
      <x:c r="E57" s="18" t="n">
        <x:v>10</x:v>
      </x:c>
      <x:c r="F57" s="15" t="str">
        <x:v>data/sources/drees/62 EACR diffusée Part 2 - version du 26 mai 2026.xlsx</x:v>
      </x:c>
      <x:c r="G57" s="15" t="str">
        <x:v>H-Conditions_liq</x:v>
      </x:c>
      <x:c r="H57" s="15" t="str">
        <x:v>128073</x:v>
      </x:c>
      <x:c r="I57" s="15" t="str">
        <x:v>Observé regroupé, non actif</x:v>
      </x:c>
    </x:row>
    <x:row r="58" ht="54" customHeight="1">
      <x:c r="A58" s="16" t="n">
        <x:v>2024</x:v>
      </x:c>
      <x:c r="B58" s="16" t="str">
        <x:v>H</x:v>
      </x:c>
      <x:c r="C58" s="16" t="str">
        <x:v>57</x:v>
      </x:c>
      <x:c r="D58" s="16" t="str">
        <x:v>autres</x:v>
      </x:c>
      <x:c r="E58" s="17" t="n">
        <x:v>168</x:v>
      </x:c>
      <x:c r="F58" s="16" t="str">
        <x:v>data/sources/drees/62 EACR diffusée Part 2 - version du 26 mai 2026.xlsx</x:v>
      </x:c>
      <x:c r="G58" s="16" t="str">
        <x:v>H-Conditions_liq</x:v>
      </x:c>
      <x:c r="H58" s="16" t="str">
        <x:v>128116|128134</x:v>
      </x:c>
      <x:c r="I58" s="16" t="str">
        <x:v>Observé regroupé, non actif</x:v>
      </x:c>
    </x:row>
    <x:row r="59" ht="54" customHeight="1">
      <x:c r="A59" s="15" t="n">
        <x:v>2024</x:v>
      </x:c>
      <x:c r="B59" s="15" t="str">
        <x:v>H</x:v>
      </x:c>
      <x:c r="C59" s="15" t="str">
        <x:v>57</x:v>
      </x:c>
      <x:c r="D59" s="15" t="str">
        <x:v>sante_invalidite_inaptitude</x:v>
      </x:c>
      <x:c r="E59" s="18" t="n">
        <x:v>5</x:v>
      </x:c>
      <x:c r="F59" s="15" t="str">
        <x:v>data/sources/drees/62 EACR diffusée Part 2 - version du 26 mai 2026.xlsx</x:v>
      </x:c>
      <x:c r="G59" s="15" t="str">
        <x:v>H-Conditions_liq</x:v>
      </x:c>
      <x:c r="H59" s="15" t="str">
        <x:v>128074</x:v>
      </x:c>
      <x:c r="I59" s="15" t="str">
        <x:v>Observé regroupé, non actif</x:v>
      </x:c>
    </x:row>
    <x:row r="60" ht="54" customHeight="1">
      <x:c r="A60" s="16" t="n">
        <x:v>2024</x:v>
      </x:c>
      <x:c r="B60" s="16" t="str">
        <x:v>H</x:v>
      </x:c>
      <x:c r="C60" s="16" t="str">
        <x:v>58</x:v>
      </x:c>
      <x:c r="D60" s="16" t="str">
        <x:v>autres</x:v>
      </x:c>
      <x:c r="E60" s="17" t="n">
        <x:v>184</x:v>
      </x:c>
      <x:c r="F60" s="16" t="str">
        <x:v>data/sources/drees/62 EACR diffusée Part 2 - version du 26 mai 2026.xlsx</x:v>
      </x:c>
      <x:c r="G60" s="16" t="str">
        <x:v>H-Conditions_liq</x:v>
      </x:c>
      <x:c r="H60" s="16" t="str">
        <x:v>128117</x:v>
      </x:c>
      <x:c r="I60" s="16" t="str">
        <x:v>Observé regroupé, non actif</x:v>
      </x:c>
    </x:row>
    <x:row r="61" ht="54" customHeight="1">
      <x:c r="A61" s="15" t="n">
        <x:v>2024</x:v>
      </x:c>
      <x:c r="B61" s="15" t="str">
        <x:v>H</x:v>
      </x:c>
      <x:c r="C61" s="15" t="str">
        <x:v>58</x:v>
      </x:c>
      <x:c r="D61" s="15" t="str">
        <x:v>carriere_longue</x:v>
      </x:c>
      <x:c r="E61" s="18" t="n">
        <x:v>24</x:v>
      </x:c>
      <x:c r="F61" s="15" t="str">
        <x:v>data/sources/drees/62 EACR diffusée Part 2 - version du 26 mai 2026.xlsx</x:v>
      </x:c>
      <x:c r="G61" s="15" t="str">
        <x:v>H-Conditions_liq</x:v>
      </x:c>
      <x:c r="H61" s="15" t="str">
        <x:v>128097</x:v>
      </x:c>
      <x:c r="I61" s="15" t="str">
        <x:v>Observé regroupé, non actif</x:v>
      </x:c>
    </x:row>
    <x:row r="62" ht="54" customHeight="1">
      <x:c r="A62" s="16" t="n">
        <x:v>2024</x:v>
      </x:c>
      <x:c r="B62" s="16" t="str">
        <x:v>H</x:v>
      </x:c>
      <x:c r="C62" s="16" t="str">
        <x:v>58</x:v>
      </x:c>
      <x:c r="D62" s="16" t="str">
        <x:v>sante_invalidite_inaptitude</x:v>
      </x:c>
      <x:c r="E62" s="17" t="n">
        <x:v>7</x:v>
      </x:c>
      <x:c r="F62" s="16" t="str">
        <x:v>data/sources/drees/62 EACR diffusée Part 2 - version du 26 mai 2026.xlsx</x:v>
      </x:c>
      <x:c r="G62" s="16" t="str">
        <x:v>H-Conditions_liq</x:v>
      </x:c>
      <x:c r="H62" s="16" t="str">
        <x:v>128075</x:v>
      </x:c>
      <x:c r="I62" s="16" t="str">
        <x:v>Observé regroupé, non actif</x:v>
      </x:c>
    </x:row>
    <x:row r="63" ht="54" customHeight="1">
      <x:c r="A63" s="15" t="n">
        <x:v>2024</x:v>
      </x:c>
      <x:c r="B63" s="15" t="str">
        <x:v>H</x:v>
      </x:c>
      <x:c r="C63" s="15" t="str">
        <x:v>59</x:v>
      </x:c>
      <x:c r="D63" s="15" t="str">
        <x:v>autres</x:v>
      </x:c>
      <x:c r="E63" s="18" t="n">
        <x:v>258</x:v>
      </x:c>
      <x:c r="F63" s="15" t="str">
        <x:v>data/sources/drees/62 EACR diffusée Part 2 - version du 26 mai 2026.xlsx</x:v>
      </x:c>
      <x:c r="G63" s="15" t="str">
        <x:v>H-Conditions_liq</x:v>
      </x:c>
      <x:c r="H63" s="15" t="str">
        <x:v>128118|128135</x:v>
      </x:c>
      <x:c r="I63" s="15" t="str">
        <x:v>Observé regroupé, non actif</x:v>
      </x:c>
    </x:row>
    <x:row r="64" ht="54" customHeight="1">
      <x:c r="A64" s="16" t="n">
        <x:v>2024</x:v>
      </x:c>
      <x:c r="B64" s="16" t="str">
        <x:v>H</x:v>
      </x:c>
      <x:c r="C64" s="16" t="str">
        <x:v>59</x:v>
      </x:c>
      <x:c r="D64" s="16" t="str">
        <x:v>carriere_longue</x:v>
      </x:c>
      <x:c r="E64" s="17" t="n">
        <x:v>117</x:v>
      </x:c>
      <x:c r="F64" s="16" t="str">
        <x:v>data/sources/drees/62 EACR diffusée Part 2 - version du 26 mai 2026.xlsx</x:v>
      </x:c>
      <x:c r="G64" s="16" t="str">
        <x:v>H-Conditions_liq</x:v>
      </x:c>
      <x:c r="H64" s="16" t="str">
        <x:v>128098</x:v>
      </x:c>
      <x:c r="I64" s="16" t="str">
        <x:v>Observé regroupé, non actif</x:v>
      </x:c>
    </x:row>
    <x:row r="65" ht="54" customHeight="1">
      <x:c r="A65" s="15" t="n">
        <x:v>2024</x:v>
      </x:c>
      <x:c r="B65" s="15" t="str">
        <x:v>H</x:v>
      </x:c>
      <x:c r="C65" s="15" t="str">
        <x:v>59</x:v>
      </x:c>
      <x:c r="D65" s="15" t="str">
        <x:v>sante_invalidite_inaptitude</x:v>
      </x:c>
      <x:c r="E65" s="18" t="n">
        <x:v>15</x:v>
      </x:c>
      <x:c r="F65" s="15" t="str">
        <x:v>data/sources/drees/62 EACR diffusée Part 2 - version du 26 mai 2026.xlsx</x:v>
      </x:c>
      <x:c r="G65" s="15" t="str">
        <x:v>H-Conditions_liq</x:v>
      </x:c>
      <x:c r="H65" s="15" t="str">
        <x:v>128076</x:v>
      </x:c>
      <x:c r="I65" s="15" t="str">
        <x:v>Observé regroupé, non actif</x:v>
      </x:c>
    </x:row>
    <x:row r="66" ht="54" customHeight="1">
      <x:c r="A66" s="16" t="n">
        <x:v>2024</x:v>
      </x:c>
      <x:c r="B66" s="16" t="str">
        <x:v>H</x:v>
      </x:c>
      <x:c r="C66" s="16" t="str">
        <x:v>60</x:v>
      </x:c>
      <x:c r="D66" s="16" t="str">
        <x:v>autres</x:v>
      </x:c>
      <x:c r="E66" s="17" t="n">
        <x:v>385</x:v>
      </x:c>
      <x:c r="F66" s="16" t="str">
        <x:v>data/sources/drees/62 EACR diffusée Part 2 - version du 26 mai 2026.xlsx</x:v>
      </x:c>
      <x:c r="G66" s="16" t="str">
        <x:v>H-Conditions_liq</x:v>
      </x:c>
      <x:c r="H66" s="16" t="str">
        <x:v>128119</x:v>
      </x:c>
      <x:c r="I66" s="16" t="str">
        <x:v>Observé regroupé, non actif</x:v>
      </x:c>
    </x:row>
    <x:row r="67" ht="54" customHeight="1">
      <x:c r="A67" s="15" t="n">
        <x:v>2024</x:v>
      </x:c>
      <x:c r="B67" s="15" t="str">
        <x:v>H</x:v>
      </x:c>
      <x:c r="C67" s="15" t="str">
        <x:v>60</x:v>
      </x:c>
      <x:c r="D67" s="15" t="str">
        <x:v>carriere_longue</x:v>
      </x:c>
      <x:c r="E67" s="18" t="n">
        <x:v>25563</x:v>
      </x:c>
      <x:c r="F67" s="15" t="str">
        <x:v>data/sources/drees/62 EACR diffusée Part 2 - version du 26 mai 2026.xlsx</x:v>
      </x:c>
      <x:c r="G67" s="15" t="str">
        <x:v>H-Conditions_liq</x:v>
      </x:c>
      <x:c r="H67" s="15" t="str">
        <x:v>128099</x:v>
      </x:c>
      <x:c r="I67" s="15" t="str">
        <x:v>Observé regroupé, non actif</x:v>
      </x:c>
    </x:row>
    <x:row r="68" ht="54" customHeight="1">
      <x:c r="A68" s="16" t="n">
        <x:v>2024</x:v>
      </x:c>
      <x:c r="B68" s="16" t="str">
        <x:v>H</x:v>
      </x:c>
      <x:c r="C68" s="16" t="str">
        <x:v>60</x:v>
      </x:c>
      <x:c r="D68" s="16" t="str">
        <x:v>droit_commun</x:v>
      </x:c>
      <x:c r="E68" s="17" t="n">
        <x:v>3</x:v>
      </x:c>
      <x:c r="F68" s="16" t="str">
        <x:v>data/sources/drees/62 EACR diffusée Part 2 - version du 26 mai 2026.xlsx</x:v>
      </x:c>
      <x:c r="G68" s="16" t="str">
        <x:v>H-Conditions_liq</x:v>
      </x:c>
      <x:c r="H68" s="16" t="str">
        <x:v>128177</x:v>
      </x:c>
      <x:c r="I68" s="16" t="str">
        <x:v>Observé regroupé, non actif</x:v>
      </x:c>
    </x:row>
    <x:row r="69" ht="54" customHeight="1">
      <x:c r="A69" s="15" t="n">
        <x:v>2024</x:v>
      </x:c>
      <x:c r="B69" s="15" t="str">
        <x:v>H</x:v>
      </x:c>
      <x:c r="C69" s="15" t="str">
        <x:v>60</x:v>
      </x:c>
      <x:c r="D69" s="15" t="str">
        <x:v>sante_invalidite_inaptitude</x:v>
      </x:c>
      <x:c r="E69" s="18" t="n">
        <x:v>1807</x:v>
      </x:c>
      <x:c r="F69" s="15" t="str">
        <x:v>data/sources/drees/62 EACR diffusée Part 2 - version du 26 mai 2026.xlsx</x:v>
      </x:c>
      <x:c r="G69" s="15" t="str">
        <x:v>H-Conditions_liq</x:v>
      </x:c>
      <x:c r="H69" s="15" t="str">
        <x:v>127957|127981|128077</x:v>
      </x:c>
      <x:c r="I69" s="15" t="str">
        <x:v>Observé regroupé, non actif</x:v>
      </x:c>
    </x:row>
    <x:row r="70" ht="54" customHeight="1">
      <x:c r="A70" s="16" t="n">
        <x:v>2024</x:v>
      </x:c>
      <x:c r="B70" s="16" t="str">
        <x:v>H</x:v>
      </x:c>
      <x:c r="C70" s="16" t="str">
        <x:v>61</x:v>
      </x:c>
      <x:c r="D70" s="16" t="str">
        <x:v>autres</x:v>
      </x:c>
      <x:c r="E70" s="17" t="n">
        <x:v>277</x:v>
      </x:c>
      <x:c r="F70" s="16" t="str">
        <x:v>data/sources/drees/62 EACR diffusée Part 2 - version du 26 mai 2026.xlsx</x:v>
      </x:c>
      <x:c r="G70" s="16" t="str">
        <x:v>H-Conditions_liq</x:v>
      </x:c>
      <x:c r="H70" s="16" t="str">
        <x:v>128120|128136</x:v>
      </x:c>
      <x:c r="I70" s="16" t="str">
        <x:v>Observé regroupé, non actif</x:v>
      </x:c>
    </x:row>
    <x:row r="71" ht="54" customHeight="1">
      <x:c r="A71" s="15" t="n">
        <x:v>2024</x:v>
      </x:c>
      <x:c r="B71" s="15" t="str">
        <x:v>H</x:v>
      </x:c>
      <x:c r="C71" s="15" t="str">
        <x:v>61</x:v>
      </x:c>
      <x:c r="D71" s="15" t="str">
        <x:v>carriere_longue</x:v>
      </x:c>
      <x:c r="E71" s="18" t="n">
        <x:v>33303</x:v>
      </x:c>
      <x:c r="F71" s="15" t="str">
        <x:v>data/sources/drees/62 EACR diffusée Part 2 - version du 26 mai 2026.xlsx</x:v>
      </x:c>
      <x:c r="G71" s="15" t="str">
        <x:v>H-Conditions_liq</x:v>
      </x:c>
      <x:c r="H71" s="15" t="str">
        <x:v>128100</x:v>
      </x:c>
      <x:c r="I71" s="15" t="str">
        <x:v>Observé regroupé, non actif</x:v>
      </x:c>
    </x:row>
    <x:row r="72" ht="54" customHeight="1">
      <x:c r="A72" s="16" t="n">
        <x:v>2024</x:v>
      </x:c>
      <x:c r="B72" s="16" t="str">
        <x:v>H</x:v>
      </x:c>
      <x:c r="C72" s="16" t="str">
        <x:v>61</x:v>
      </x:c>
      <x:c r="D72" s="16" t="str">
        <x:v>droit_commun</x:v>
      </x:c>
      <x:c r="E72" s="17" t="n">
        <x:v>2898</x:v>
      </x:c>
      <x:c r="F72" s="16" t="str">
        <x:v>data/sources/drees/62 EACR diffusée Part 2 - version du 26 mai 2026.xlsx</x:v>
      </x:c>
      <x:c r="G72" s="16" t="str">
        <x:v>H-Conditions_liq</x:v>
      </x:c>
      <x:c r="H72" s="16" t="str">
        <x:v>128178</x:v>
      </x:c>
      <x:c r="I72" s="16" t="str">
        <x:v>Observé regroupé, non actif</x:v>
      </x:c>
    </x:row>
    <x:row r="73" ht="54" customHeight="1">
      <x:c r="A73" s="15" t="n">
        <x:v>2024</x:v>
      </x:c>
      <x:c r="B73" s="15" t="str">
        <x:v>H</x:v>
      </x:c>
      <x:c r="C73" s="15" t="str">
        <x:v>61</x:v>
      </x:c>
      <x:c r="D73" s="15" t="str">
        <x:v>sante_invalidite_inaptitude</x:v>
      </x:c>
      <x:c r="E73" s="18" t="n">
        <x:v>1471</x:v>
      </x:c>
      <x:c r="F73" s="15" t="str">
        <x:v>data/sources/drees/62 EACR diffusée Part 2 - version du 26 mai 2026.xlsx</x:v>
      </x:c>
      <x:c r="G73" s="15" t="str">
        <x:v>H-Conditions_liq</x:v>
      </x:c>
      <x:c r="H73" s="15" t="str">
        <x:v>127958|127982|128008|128078</x:v>
      </x:c>
      <x:c r="I73" s="15" t="str">
        <x:v>Observé regroupé, non actif</x:v>
      </x:c>
    </x:row>
    <x:row r="74" ht="54" customHeight="1">
      <x:c r="A74" s="16" t="n">
        <x:v>2024</x:v>
      </x:c>
      <x:c r="B74" s="16" t="str">
        <x:v>H</x:v>
      </x:c>
      <x:c r="C74" s="16" t="str">
        <x:v>62</x:v>
      </x:c>
      <x:c r="D74" s="16" t="str">
        <x:v>autres</x:v>
      </x:c>
      <x:c r="E74" s="17" t="n">
        <x:v>251</x:v>
      </x:c>
      <x:c r="F74" s="16" t="str">
        <x:v>data/sources/drees/62 EACR diffusée Part 2 - version du 26 mai 2026.xlsx</x:v>
      </x:c>
      <x:c r="G74" s="16" t="str">
        <x:v>H-Conditions_liq</x:v>
      </x:c>
      <x:c r="H74" s="16" t="str">
        <x:v>128121|128137</x:v>
      </x:c>
      <x:c r="I74" s="16" t="str">
        <x:v>Observé regroupé, non actif</x:v>
      </x:c>
    </x:row>
    <x:row r="75" ht="54" customHeight="1">
      <x:c r="A75" s="15" t="n">
        <x:v>2024</x:v>
      </x:c>
      <x:c r="B75" s="15" t="str">
        <x:v>H</x:v>
      </x:c>
      <x:c r="C75" s="15" t="str">
        <x:v>62</x:v>
      </x:c>
      <x:c r="D75" s="15" t="str">
        <x:v>carriere_longue</x:v>
      </x:c>
      <x:c r="E75" s="18" t="n">
        <x:v>18021</x:v>
      </x:c>
      <x:c r="F75" s="15" t="str">
        <x:v>data/sources/drees/62 EACR diffusée Part 2 - version du 26 mai 2026.xlsx</x:v>
      </x:c>
      <x:c r="G75" s="15" t="str">
        <x:v>H-Conditions_liq</x:v>
      </x:c>
      <x:c r="H75" s="15" t="str">
        <x:v>128101</x:v>
      </x:c>
      <x:c r="I75" s="15" t="str">
        <x:v>Observé regroupé, non actif</x:v>
      </x:c>
    </x:row>
    <x:row r="76" ht="54" customHeight="1">
      <x:c r="A76" s="16" t="n">
        <x:v>2024</x:v>
      </x:c>
      <x:c r="B76" s="16" t="str">
        <x:v>H</x:v>
      </x:c>
      <x:c r="C76" s="16" t="str">
        <x:v>62</x:v>
      </x:c>
      <x:c r="D76" s="16" t="str">
        <x:v>droit_commun</x:v>
      </x:c>
      <x:c r="E76" s="17" t="n">
        <x:v>21920</x:v>
      </x:c>
      <x:c r="F76" s="16" t="str">
        <x:v>data/sources/drees/62 EACR diffusée Part 2 - version du 26 mai 2026.xlsx</x:v>
      </x:c>
      <x:c r="G76" s="16" t="str">
        <x:v>H-Conditions_liq</x:v>
      </x:c>
      <x:c r="H76" s="16" t="str">
        <x:v>128179</x:v>
      </x:c>
      <x:c r="I76" s="16" t="str">
        <x:v>Observé regroupé, non actif</x:v>
      </x:c>
    </x:row>
    <x:row r="77" ht="54" customHeight="1">
      <x:c r="A77" s="15" t="n">
        <x:v>2024</x:v>
      </x:c>
      <x:c r="B77" s="15" t="str">
        <x:v>H</x:v>
      </x:c>
      <x:c r="C77" s="15" t="str">
        <x:v>62</x:v>
      </x:c>
      <x:c r="D77" s="15" t="str">
        <x:v>sante_invalidite_inaptitude</x:v>
      </x:c>
      <x:c r="E77" s="18" t="n">
        <x:v>40244</x:v>
      </x:c>
      <x:c r="F77" s="15" t="str">
        <x:v>data/sources/drees/62 EACR diffusée Part 2 - version du 26 mai 2026.xlsx</x:v>
      </x:c>
      <x:c r="G77" s="15" t="str">
        <x:v>H-Conditions_liq</x:v>
      </x:c>
      <x:c r="H77" s="15" t="str">
        <x:v>127959|127983|128009|128035|128079</x:v>
      </x:c>
      <x:c r="I77" s="15" t="str">
        <x:v>Observé regroupé, non actif</x:v>
      </x:c>
    </x:row>
    <x:row r="78" ht="54" customHeight="1">
      <x:c r="A78" s="16" t="n">
        <x:v>2024</x:v>
      </x:c>
      <x:c r="B78" s="16" t="str">
        <x:v>H</x:v>
      </x:c>
      <x:c r="C78" s="16" t="str">
        <x:v>63</x:v>
      </x:c>
      <x:c r="D78" s="16" t="str">
        <x:v>autres</x:v>
      </x:c>
      <x:c r="E78" s="17" t="n">
        <x:v>111</x:v>
      </x:c>
      <x:c r="F78" s="16" t="str">
        <x:v>data/sources/drees/62 EACR diffusée Part 2 - version du 26 mai 2026.xlsx</x:v>
      </x:c>
      <x:c r="G78" s="16" t="str">
        <x:v>H-Conditions_liq</x:v>
      </x:c>
      <x:c r="H78" s="16" t="str">
        <x:v>128122|128138</x:v>
      </x:c>
      <x:c r="I78" s="16" t="str">
        <x:v>Observé regroupé, non actif</x:v>
      </x:c>
    </x:row>
    <x:row r="79" ht="54" customHeight="1">
      <x:c r="A79" s="15" t="n">
        <x:v>2024</x:v>
      </x:c>
      <x:c r="B79" s="15" t="str">
        <x:v>H</x:v>
      </x:c>
      <x:c r="C79" s="15" t="str">
        <x:v>63</x:v>
      </x:c>
      <x:c r="D79" s="15" t="str">
        <x:v>carriere_longue</x:v>
      </x:c>
      <x:c r="E79" s="18" t="n">
        <x:v>1080</x:v>
      </x:c>
      <x:c r="F79" s="15" t="str">
        <x:v>data/sources/drees/62 EACR diffusée Part 2 - version du 26 mai 2026.xlsx</x:v>
      </x:c>
      <x:c r="G79" s="15" t="str">
        <x:v>H-Conditions_liq</x:v>
      </x:c>
      <x:c r="H79" s="15" t="str">
        <x:v>128102</x:v>
      </x:c>
      <x:c r="I79" s="15" t="str">
        <x:v>Observé regroupé, non actif</x:v>
      </x:c>
    </x:row>
    <x:row r="80" ht="54" customHeight="1">
      <x:c r="A80" s="16" t="n">
        <x:v>2024</x:v>
      </x:c>
      <x:c r="B80" s="16" t="str">
        <x:v>H</x:v>
      </x:c>
      <x:c r="C80" s="16" t="str">
        <x:v>63</x:v>
      </x:c>
      <x:c r="D80" s="16" t="str">
        <x:v>droit_commun</x:v>
      </x:c>
      <x:c r="E80" s="17" t="n">
        <x:v>44950</x:v>
      </x:c>
      <x:c r="F80" s="16" t="str">
        <x:v>data/sources/drees/62 EACR diffusée Part 2 - version du 26 mai 2026.xlsx</x:v>
      </x:c>
      <x:c r="G80" s="16" t="str">
        <x:v>H-Conditions_liq</x:v>
      </x:c>
      <x:c r="H80" s="16" t="str">
        <x:v>128180</x:v>
      </x:c>
      <x:c r="I80" s="16" t="str">
        <x:v>Observé regroupé, non actif</x:v>
      </x:c>
    </x:row>
    <x:row r="81" ht="54" customHeight="1">
      <x:c r="A81" s="15" t="n">
        <x:v>2024</x:v>
      </x:c>
      <x:c r="B81" s="15" t="str">
        <x:v>H</x:v>
      </x:c>
      <x:c r="C81" s="15" t="str">
        <x:v>63</x:v>
      </x:c>
      <x:c r="D81" s="15" t="str">
        <x:v>sante_invalidite_inaptitude</x:v>
      </x:c>
      <x:c r="E81" s="18" t="n">
        <x:v>7384</x:v>
      </x:c>
      <x:c r="F81" s="15" t="str">
        <x:v>data/sources/drees/62 EACR diffusée Part 2 - version du 26 mai 2026.xlsx</x:v>
      </x:c>
      <x:c r="G81" s="15" t="str">
        <x:v>H-Conditions_liq</x:v>
      </x:c>
      <x:c r="H81" s="15" t="str">
        <x:v>127960|127984|128010|128036|128080</x:v>
      </x:c>
      <x:c r="I81" s="15" t="str">
        <x:v>Observé regroupé, non actif</x:v>
      </x:c>
    </x:row>
    <x:row r="82" ht="54" customHeight="1">
      <x:c r="A82" s="16" t="n">
        <x:v>2024</x:v>
      </x:c>
      <x:c r="B82" s="16" t="str">
        <x:v>H</x:v>
      </x:c>
      <x:c r="C82" s="16" t="str">
        <x:v>64</x:v>
      </x:c>
      <x:c r="D82" s="16" t="str">
        <x:v>autres</x:v>
      </x:c>
      <x:c r="E82" s="17" t="n">
        <x:v>47</x:v>
      </x:c>
      <x:c r="F82" s="16" t="str">
        <x:v>data/sources/drees/62 EACR diffusée Part 2 - version du 26 mai 2026.xlsx</x:v>
      </x:c>
      <x:c r="G82" s="16" t="str">
        <x:v>H-Conditions_liq</x:v>
      </x:c>
      <x:c r="H82" s="16" t="str">
        <x:v>128139</x:v>
      </x:c>
      <x:c r="I82" s="16" t="str">
        <x:v>Observé regroupé, non actif</x:v>
      </x:c>
    </x:row>
    <x:row r="83" ht="54" customHeight="1">
      <x:c r="A83" s="15" t="n">
        <x:v>2024</x:v>
      </x:c>
      <x:c r="B83" s="15" t="str">
        <x:v>H</x:v>
      </x:c>
      <x:c r="C83" s="15" t="str">
        <x:v>64</x:v>
      </x:c>
      <x:c r="D83" s="15" t="str">
        <x:v>droit_commun</x:v>
      </x:c>
      <x:c r="E83" s="18" t="n">
        <x:v>22465</x:v>
      </x:c>
      <x:c r="F83" s="15" t="str">
        <x:v>data/sources/drees/62 EACR diffusée Part 2 - version du 26 mai 2026.xlsx</x:v>
      </x:c>
      <x:c r="G83" s="15" t="str">
        <x:v>H-Conditions_liq</x:v>
      </x:c>
      <x:c r="H83" s="15" t="str">
        <x:v>128181</x:v>
      </x:c>
      <x:c r="I83" s="15" t="str">
        <x:v>Observé regroupé, non actif</x:v>
      </x:c>
    </x:row>
    <x:row r="84" ht="54" customHeight="1">
      <x:c r="A84" s="16" t="n">
        <x:v>2024</x:v>
      </x:c>
      <x:c r="B84" s="16" t="str">
        <x:v>H</x:v>
      </x:c>
      <x:c r="C84" s="16" t="str">
        <x:v>64</x:v>
      </x:c>
      <x:c r="D84" s="16" t="str">
        <x:v>sante_invalidite_inaptitude</x:v>
      </x:c>
      <x:c r="E84" s="17" t="n">
        <x:v>2211</x:v>
      </x:c>
      <x:c r="F84" s="16" t="str">
        <x:v>data/sources/drees/62 EACR diffusée Part 2 - version du 26 mai 2026.xlsx</x:v>
      </x:c>
      <x:c r="G84" s="16" t="str">
        <x:v>H-Conditions_liq</x:v>
      </x:c>
      <x:c r="H84" s="16" t="str">
        <x:v>127961|127985|128011|128037|128081</x:v>
      </x:c>
      <x:c r="I84" s="16" t="str">
        <x:v>Observé regroupé, non actif</x:v>
      </x:c>
    </x:row>
    <x:row r="85" ht="54" customHeight="1">
      <x:c r="A85" s="15" t="n">
        <x:v>2024</x:v>
      </x:c>
      <x:c r="B85" s="15" t="str">
        <x:v>H</x:v>
      </x:c>
      <x:c r="C85" s="15" t="str">
        <x:v>65</x:v>
      </x:c>
      <x:c r="D85" s="15" t="str">
        <x:v>autres</x:v>
      </x:c>
      <x:c r="E85" s="18" t="n">
        <x:v>81</x:v>
      </x:c>
      <x:c r="F85" s="15" t="str">
        <x:v>data/sources/drees/62 EACR diffusée Part 2 - version du 26 mai 2026.xlsx</x:v>
      </x:c>
      <x:c r="G85" s="15" t="str">
        <x:v>H-Conditions_liq</x:v>
      </x:c>
      <x:c r="H85" s="15" t="str">
        <x:v>128140</x:v>
      </x:c>
      <x:c r="I85" s="15" t="str">
        <x:v>Observé regroupé, non actif</x:v>
      </x:c>
    </x:row>
    <x:row r="86" ht="54" customHeight="1">
      <x:c r="A86" s="16" t="n">
        <x:v>2024</x:v>
      </x:c>
      <x:c r="B86" s="16" t="str">
        <x:v>H</x:v>
      </x:c>
      <x:c r="C86" s="16" t="str">
        <x:v>65</x:v>
      </x:c>
      <x:c r="D86" s="16" t="str">
        <x:v>droit_commun</x:v>
      </x:c>
      <x:c r="E86" s="17" t="n">
        <x:v>20932</x:v>
      </x:c>
      <x:c r="F86" s="16" t="str">
        <x:v>data/sources/drees/62 EACR diffusée Part 2 - version du 26 mai 2026.xlsx</x:v>
      </x:c>
      <x:c r="G86" s="16" t="str">
        <x:v>H-Conditions_liq</x:v>
      </x:c>
      <x:c r="H86" s="16" t="str">
        <x:v>128182</x:v>
      </x:c>
      <x:c r="I86" s="16" t="str">
        <x:v>Observé regroupé, non actif</x:v>
      </x:c>
    </x:row>
    <x:row r="87" ht="54" customHeight="1">
      <x:c r="A87" s="15" t="n">
        <x:v>2024</x:v>
      </x:c>
      <x:c r="B87" s="15" t="str">
        <x:v>H</x:v>
      </x:c>
      <x:c r="C87" s="15" t="str">
        <x:v>65</x:v>
      </x:c>
      <x:c r="D87" s="15" t="str">
        <x:v>sante_invalidite_inaptitude</x:v>
      </x:c>
      <x:c r="E87" s="18" t="n">
        <x:v>2067</x:v>
      </x:c>
      <x:c r="F87" s="15" t="str">
        <x:v>data/sources/drees/62 EACR diffusée Part 2 - version du 26 mai 2026.xlsx</x:v>
      </x:c>
      <x:c r="G87" s="15" t="str">
        <x:v>H-Conditions_liq</x:v>
      </x:c>
      <x:c r="H87" s="15" t="str">
        <x:v>127962|127986|128012|128038|128082</x:v>
      </x:c>
      <x:c r="I87" s="15" t="str">
        <x:v>Observé regroupé, non actif</x:v>
      </x:c>
    </x:row>
    <x:row r="88" ht="54" customHeight="1">
      <x:c r="A88" s="16" t="n">
        <x:v>2024</x:v>
      </x:c>
      <x:c r="B88" s="16" t="str">
        <x:v>H</x:v>
      </x:c>
      <x:c r="C88" s="16" t="str">
        <x:v>66</x:v>
      </x:c>
      <x:c r="D88" s="16" t="str">
        <x:v>autres</x:v>
      </x:c>
      <x:c r="E88" s="17" t="n">
        <x:v>44</x:v>
      </x:c>
      <x:c r="F88" s="16" t="str">
        <x:v>data/sources/drees/62 EACR diffusée Part 2 - version du 26 mai 2026.xlsx</x:v>
      </x:c>
      <x:c r="G88" s="16" t="str">
        <x:v>H-Conditions_liq</x:v>
      </x:c>
      <x:c r="H88" s="16" t="str">
        <x:v>128141</x:v>
      </x:c>
      <x:c r="I88" s="16" t="str">
        <x:v>Observé regroupé, non actif</x:v>
      </x:c>
    </x:row>
    <x:row r="89" ht="54" customHeight="1">
      <x:c r="A89" s="15" t="n">
        <x:v>2024</x:v>
      </x:c>
      <x:c r="B89" s="15" t="str">
        <x:v>H</x:v>
      </x:c>
      <x:c r="C89" s="15" t="str">
        <x:v>66</x:v>
      </x:c>
      <x:c r="D89" s="15" t="str">
        <x:v>droit_commun</x:v>
      </x:c>
      <x:c r="E89" s="18" t="n">
        <x:v>13259</x:v>
      </x:c>
      <x:c r="F89" s="15" t="str">
        <x:v>data/sources/drees/62 EACR diffusée Part 2 - version du 26 mai 2026.xlsx</x:v>
      </x:c>
      <x:c r="G89" s="15" t="str">
        <x:v>H-Conditions_liq</x:v>
      </x:c>
      <x:c r="H89" s="15" t="str">
        <x:v>128183</x:v>
      </x:c>
      <x:c r="I89" s="15" t="str">
        <x:v>Observé regroupé, non actif</x:v>
      </x:c>
    </x:row>
    <x:row r="90" ht="54" customHeight="1">
      <x:c r="A90" s="16" t="n">
        <x:v>2024</x:v>
      </x:c>
      <x:c r="B90" s="16" t="str">
        <x:v>H</x:v>
      </x:c>
      <x:c r="C90" s="16" t="str">
        <x:v>66</x:v>
      </x:c>
      <x:c r="D90" s="16" t="str">
        <x:v>sante_invalidite_inaptitude</x:v>
      </x:c>
      <x:c r="E90" s="17" t="n">
        <x:v>1179</x:v>
      </x:c>
      <x:c r="F90" s="16" t="str">
        <x:v>data/sources/drees/62 EACR diffusée Part 2 - version du 26 mai 2026.xlsx</x:v>
      </x:c>
      <x:c r="G90" s="16" t="str">
        <x:v>H-Conditions_liq</x:v>
      </x:c>
      <x:c r="H90" s="16" t="str">
        <x:v>127963|127987|128013|128039|128083</x:v>
      </x:c>
      <x:c r="I90" s="16" t="str">
        <x:v>Observé regroupé, non actif</x:v>
      </x:c>
    </x:row>
    <x:row r="91" ht="54" customHeight="1">
      <x:c r="A91" s="15" t="n">
        <x:v>2024</x:v>
      </x:c>
      <x:c r="B91" s="15" t="str">
        <x:v>H</x:v>
      </x:c>
      <x:c r="C91" s="15" t="str">
        <x:v>67</x:v>
      </x:c>
      <x:c r="D91" s="15" t="str">
        <x:v>autres</x:v>
      </x:c>
      <x:c r="E91" s="18" t="n">
        <x:v>22</x:v>
      </x:c>
      <x:c r="F91" s="15" t="str">
        <x:v>data/sources/drees/62 EACR diffusée Part 2 - version du 26 mai 2026.xlsx</x:v>
      </x:c>
      <x:c r="G91" s="15" t="str">
        <x:v>H-Conditions_liq</x:v>
      </x:c>
      <x:c r="H91" s="15" t="str">
        <x:v>128142</x:v>
      </x:c>
      <x:c r="I91" s="15" t="str">
        <x:v>Observé regroupé, non actif</x:v>
      </x:c>
    </x:row>
    <x:row r="92" ht="54" customHeight="1">
      <x:c r="A92" s="16" t="n">
        <x:v>2024</x:v>
      </x:c>
      <x:c r="B92" s="16" t="str">
        <x:v>H</x:v>
      </x:c>
      <x:c r="C92" s="16" t="str">
        <x:v>67</x:v>
      </x:c>
      <x:c r="D92" s="16" t="str">
        <x:v>droit_commun</x:v>
      </x:c>
      <x:c r="E92" s="17" t="n">
        <x:v>23252</x:v>
      </x:c>
      <x:c r="F92" s="16" t="str">
        <x:v>data/sources/drees/62 EACR diffusée Part 2 - version du 26 mai 2026.xlsx</x:v>
      </x:c>
      <x:c r="G92" s="16" t="str">
        <x:v>H-Conditions_liq</x:v>
      </x:c>
      <x:c r="H92" s="16" t="str">
        <x:v>128184</x:v>
      </x:c>
      <x:c r="I92" s="16" t="str">
        <x:v>Observé regroupé, non actif</x:v>
      </x:c>
    </x:row>
    <x:row r="93" ht="54" customHeight="1">
      <x:c r="A93" s="15" t="n">
        <x:v>2024</x:v>
      </x:c>
      <x:c r="B93" s="15" t="str">
        <x:v>H</x:v>
      </x:c>
      <x:c r="C93" s="15" t="str">
        <x:v>67</x:v>
      </x:c>
      <x:c r="D93" s="15" t="str">
        <x:v>sante_invalidite_inaptitude</x:v>
      </x:c>
      <x:c r="E93" s="18" t="n">
        <x:v>460</x:v>
      </x:c>
      <x:c r="F93" s="15" t="str">
        <x:v>data/sources/drees/62 EACR diffusée Part 2 - version du 26 mai 2026.xlsx</x:v>
      </x:c>
      <x:c r="G93" s="15" t="str">
        <x:v>H-Conditions_liq</x:v>
      </x:c>
      <x:c r="H93" s="15" t="str">
        <x:v>127964|127988|128014|128040|128084</x:v>
      </x:c>
      <x:c r="I93" s="15" t="str">
        <x:v>Observé regroupé, non actif</x:v>
      </x:c>
    </x:row>
    <x:row r="94" ht="54" customHeight="1">
      <x:c r="A94" s="16" t="n">
        <x:v>2024</x:v>
      </x:c>
      <x:c r="B94" s="16" t="str">
        <x:v>H</x:v>
      </x:c>
      <x:c r="C94" s="16" t="str">
        <x:v>68</x:v>
      </x:c>
      <x:c r="D94" s="16" t="str">
        <x:v>droit_commun</x:v>
      </x:c>
      <x:c r="E94" s="17" t="n">
        <x:v>9315</x:v>
      </x:c>
      <x:c r="F94" s="16" t="str">
        <x:v>data/sources/drees/62 EACR diffusée Part 2 - version du 26 mai 2026.xlsx</x:v>
      </x:c>
      <x:c r="G94" s="16" t="str">
        <x:v>H-Conditions_liq</x:v>
      </x:c>
      <x:c r="H94" s="16" t="str">
        <x:v>128185</x:v>
      </x:c>
      <x:c r="I94" s="16" t="str">
        <x:v>Observé regroupé, non actif</x:v>
      </x:c>
    </x:row>
    <x:row r="95" ht="54" customHeight="1">
      <x:c r="A95" s="15" t="n">
        <x:v>2024</x:v>
      </x:c>
      <x:c r="B95" s="15" t="str">
        <x:v>H</x:v>
      </x:c>
      <x:c r="C95" s="15" t="str">
        <x:v>68</x:v>
      </x:c>
      <x:c r="D95" s="15" t="str">
        <x:v>sante_invalidite_inaptitude</x:v>
      </x:c>
      <x:c r="E95" s="18" t="n">
        <x:v>55</x:v>
      </x:c>
      <x:c r="F95" s="15" t="str">
        <x:v>data/sources/drees/62 EACR diffusée Part 2 - version du 26 mai 2026.xlsx</x:v>
      </x:c>
      <x:c r="G95" s="15" t="str">
        <x:v>H-Conditions_liq</x:v>
      </x:c>
      <x:c r="H95" s="15" t="str">
        <x:v>128015|128041|128085</x:v>
      </x:c>
      <x:c r="I95" s="15" t="str">
        <x:v>Observé regroupé, non actif</x:v>
      </x:c>
    </x:row>
    <x:row r="96" ht="54" customHeight="1">
      <x:c r="A96" s="16" t="n">
        <x:v>2024</x:v>
      </x:c>
      <x:c r="B96" s="16" t="str">
        <x:v>H</x:v>
      </x:c>
      <x:c r="C96" s="16" t="str">
        <x:v>69</x:v>
      </x:c>
      <x:c r="D96" s="16" t="str">
        <x:v>droit_commun</x:v>
      </x:c>
      <x:c r="E96" s="17" t="n">
        <x:v>3533</x:v>
      </x:c>
      <x:c r="F96" s="16" t="str">
        <x:v>data/sources/drees/62 EACR diffusée Part 2 - version du 26 mai 2026.xlsx</x:v>
      </x:c>
      <x:c r="G96" s="16" t="str">
        <x:v>H-Conditions_liq</x:v>
      </x:c>
      <x:c r="H96" s="16" t="str">
        <x:v>128186</x:v>
      </x:c>
      <x:c r="I96" s="16" t="str">
        <x:v>Observé regroupé, non actif</x:v>
      </x:c>
    </x:row>
    <x:row r="97" ht="54" customHeight="1">
      <x:c r="A97" s="15" t="n">
        <x:v>2024</x:v>
      </x:c>
      <x:c r="B97" s="15" t="str">
        <x:v>H</x:v>
      </x:c>
      <x:c r="C97" s="15" t="str">
        <x:v>69</x:v>
      </x:c>
      <x:c r="D97" s="15" t="str">
        <x:v>sante_invalidite_inaptitude</x:v>
      </x:c>
      <x:c r="E97" s="18" t="n">
        <x:v>11</x:v>
      </x:c>
      <x:c r="F97" s="15" t="str">
        <x:v>data/sources/drees/62 EACR diffusée Part 2 - version du 26 mai 2026.xlsx</x:v>
      </x:c>
      <x:c r="G97" s="15" t="str">
        <x:v>H-Conditions_liq</x:v>
      </x:c>
      <x:c r="H97" s="15" t="str">
        <x:v>128016|128042|128086</x:v>
      </x:c>
      <x:c r="I97" s="15" t="str">
        <x:v>Observé regroupé, non actif</x:v>
      </x:c>
    </x:row>
    <x:row r="98" ht="54" customHeight="1">
      <x:c r="A98" s="16" t="n">
        <x:v>2024</x:v>
      </x:c>
      <x:c r="B98" s="16" t="str">
        <x:v>H</x:v>
      </x:c>
      <x:c r="C98" s="16" t="str">
        <x:v>70</x:v>
      </x:c>
      <x:c r="D98" s="16" t="str">
        <x:v>droit_commun</x:v>
      </x:c>
      <x:c r="E98" s="17" t="n">
        <x:v>2540</x:v>
      </x:c>
      <x:c r="F98" s="16" t="str">
        <x:v>data/sources/drees/62 EACR diffusée Part 2 - version du 26 mai 2026.xlsx</x:v>
      </x:c>
      <x:c r="G98" s="16" t="str">
        <x:v>H-Conditions_liq</x:v>
      </x:c>
      <x:c r="H98" s="16" t="str">
        <x:v>128187</x:v>
      </x:c>
      <x:c r="I98" s="16" t="str">
        <x:v>Observé regroupé, non actif</x:v>
      </x:c>
    </x:row>
    <x:row r="99" ht="54" customHeight="1">
      <x:c r="A99" s="15" t="n">
        <x:v>2024</x:v>
      </x:c>
      <x:c r="B99" s="15" t="str">
        <x:v>H</x:v>
      </x:c>
      <x:c r="C99" s="15" t="str">
        <x:v>70</x:v>
      </x:c>
      <x:c r="D99" s="15" t="str">
        <x:v>sante_invalidite_inaptitude</x:v>
      </x:c>
      <x:c r="E99" s="18" t="n">
        <x:v>6</x:v>
      </x:c>
      <x:c r="F99" s="15" t="str">
        <x:v>data/sources/drees/62 EACR diffusée Part 2 - version du 26 mai 2026.xlsx</x:v>
      </x:c>
      <x:c r="G99" s="15" t="str">
        <x:v>H-Conditions_liq</x:v>
      </x:c>
      <x:c r="H99" s="15" t="str">
        <x:v>128087</x:v>
      </x:c>
      <x:c r="I99" s="15" t="str">
        <x:v>Observé regroupé, non actif</x:v>
      </x:c>
    </x:row>
    <x:row r="100" ht="54" customHeight="1">
      <x:c r="A100" s="16" t="n">
        <x:v>2024</x:v>
      </x:c>
      <x:c r="B100" s="16" t="str">
        <x:v>H</x:v>
      </x:c>
      <x:c r="C100" s="16" t="str">
        <x:v>&gt;70</x:v>
      </x:c>
      <x:c r="D100" s="16" t="str">
        <x:v>droit_commun</x:v>
      </x:c>
      <x:c r="E100" s="17" t="n">
        <x:v>6490</x:v>
      </x:c>
      <x:c r="F100" s="16" t="str">
        <x:v>data/sources/drees/62 EACR diffusée Part 2 - version du 26 mai 2026.xlsx</x:v>
      </x:c>
      <x:c r="G100" s="16" t="str">
        <x:v>H-Conditions_liq</x:v>
      </x:c>
      <x:c r="H100" s="16" t="str">
        <x:v>128188</x:v>
      </x:c>
      <x:c r="I100" s="16" t="str">
        <x:v>Observé regroupé, non actif</x:v>
      </x:c>
    </x:row>
    <x:row r="101" ht="54" customHeight="1">
      <x:c r="A101" s="15" t="n">
        <x:v>2024</x:v>
      </x:c>
      <x:c r="B101" s="15" t="str">
        <x:v>H</x:v>
      </x:c>
      <x:c r="C101" s="15" t="str">
        <x:v>&gt;70</x:v>
      </x:c>
      <x:c r="D101" s="15" t="str">
        <x:v>sante_invalidite_inaptitude</x:v>
      </x:c>
      <x:c r="E101" s="18" t="n">
        <x:v>8</x:v>
      </x:c>
      <x:c r="F101" s="15" t="str">
        <x:v>data/sources/drees/62 EACR diffusée Part 2 - version du 26 mai 2026.xlsx</x:v>
      </x:c>
      <x:c r="G101" s="15" t="str">
        <x:v>H-Conditions_liq</x:v>
      </x:c>
      <x:c r="H101" s="15" t="str">
        <x:v>128088</x:v>
      </x:c>
      <x:c r="I101" s="15" t="str">
        <x:v>Observé regroupé, non actif</x:v>
      </x:c>
    </x:row>
    <x:row r="102" ht="54" customHeight="1">
      <x:c r="A102" s="16" t="n">
        <x:v>2024</x:v>
      </x:c>
      <x:c r="B102" s="16" t="str">
        <x:v>T</x:v>
      </x:c>
      <x:c r="C102" s="16" t="str">
        <x:v>55</x:v>
      </x:c>
      <x:c r="D102" s="16" t="str">
        <x:v>autres</x:v>
      </x:c>
      <x:c r="E102" s="17" t="n">
        <x:v>176</x:v>
      </x:c>
      <x:c r="F102" s="16" t="str">
        <x:v>data/sources/drees/62 EACR diffusée Part 2 - version du 26 mai 2026.xlsx</x:v>
      </x:c>
      <x:c r="G102" s="16" t="str">
        <x:v>H-Conditions_liq</x:v>
      </x:c>
      <x:c r="H102" s="16" t="str">
        <x:v>124761</x:v>
      </x:c>
      <x:c r="I102" s="16" t="str">
        <x:v>Observé regroupé, non actif</x:v>
      </x:c>
    </x:row>
    <x:row r="103" ht="54" customHeight="1">
      <x:c r="A103" s="15" t="n">
        <x:v>2024</x:v>
      </x:c>
      <x:c r="B103" s="15" t="str">
        <x:v>T</x:v>
      </x:c>
      <x:c r="C103" s="15" t="str">
        <x:v>55</x:v>
      </x:c>
      <x:c r="D103" s="15" t="str">
        <x:v>sante_invalidite_inaptitude</x:v>
      </x:c>
      <x:c r="E103" s="18" t="n">
        <x:v>8</x:v>
      </x:c>
      <x:c r="F103" s="15" t="str">
        <x:v>data/sources/drees/62 EACR diffusée Part 2 - version du 26 mai 2026.xlsx</x:v>
      </x:c>
      <x:c r="G103" s="15" t="str">
        <x:v>H-Conditions_liq</x:v>
      </x:c>
      <x:c r="H103" s="15" t="str">
        <x:v>124718</x:v>
      </x:c>
      <x:c r="I103" s="15" t="str">
        <x:v>Observé regroupé, non actif</x:v>
      </x:c>
    </x:row>
    <x:row r="104" ht="54" customHeight="1">
      <x:c r="A104" s="16" t="n">
        <x:v>2024</x:v>
      </x:c>
      <x:c r="B104" s="16" t="str">
        <x:v>T</x:v>
      </x:c>
      <x:c r="C104" s="16" t="str">
        <x:v>56</x:v>
      </x:c>
      <x:c r="D104" s="16" t="str">
        <x:v>autres</x:v>
      </x:c>
      <x:c r="E104" s="17" t="n">
        <x:v>235</x:v>
      </x:c>
      <x:c r="F104" s="16" t="str">
        <x:v>data/sources/drees/62 EACR diffusée Part 2 - version du 26 mai 2026.xlsx</x:v>
      </x:c>
      <x:c r="G104" s="16" t="str">
        <x:v>H-Conditions_liq</x:v>
      </x:c>
      <x:c r="H104" s="16" t="str">
        <x:v>124762</x:v>
      </x:c>
      <x:c r="I104" s="16" t="str">
        <x:v>Observé regroupé, non actif</x:v>
      </x:c>
    </x:row>
    <x:row r="105" ht="54" customHeight="1">
      <x:c r="A105" s="15" t="n">
        <x:v>2024</x:v>
      </x:c>
      <x:c r="B105" s="15" t="str">
        <x:v>T</x:v>
      </x:c>
      <x:c r="C105" s="15" t="str">
        <x:v>56</x:v>
      </x:c>
      <x:c r="D105" s="15" t="str">
        <x:v>sante_invalidite_inaptitude</x:v>
      </x:c>
      <x:c r="E105" s="18" t="n">
        <x:v>15</x:v>
      </x:c>
      <x:c r="F105" s="15" t="str">
        <x:v>data/sources/drees/62 EACR diffusée Part 2 - version du 26 mai 2026.xlsx</x:v>
      </x:c>
      <x:c r="G105" s="15" t="str">
        <x:v>H-Conditions_liq</x:v>
      </x:c>
      <x:c r="H105" s="15" t="str">
        <x:v>124719</x:v>
      </x:c>
      <x:c r="I105" s="15" t="str">
        <x:v>Observé regroupé, non actif</x:v>
      </x:c>
    </x:row>
    <x:row r="106" ht="54" customHeight="1">
      <x:c r="A106" s="16" t="n">
        <x:v>2024</x:v>
      </x:c>
      <x:c r="B106" s="16" t="str">
        <x:v>T</x:v>
      </x:c>
      <x:c r="C106" s="16" t="str">
        <x:v>57</x:v>
      </x:c>
      <x:c r="D106" s="16" t="str">
        <x:v>autres</x:v>
      </x:c>
      <x:c r="E106" s="17" t="n">
        <x:v>258</x:v>
      </x:c>
      <x:c r="F106" s="16" t="str">
        <x:v>data/sources/drees/62 EACR diffusée Part 2 - version du 26 mai 2026.xlsx</x:v>
      </x:c>
      <x:c r="G106" s="16" t="str">
        <x:v>H-Conditions_liq</x:v>
      </x:c>
      <x:c r="H106" s="16" t="str">
        <x:v>124763|124782</x:v>
      </x:c>
      <x:c r="I106" s="16" t="str">
        <x:v>Observé regroupé, non actif</x:v>
      </x:c>
    </x:row>
    <x:row r="107" ht="54" customHeight="1">
      <x:c r="A107" s="15" t="n">
        <x:v>2024</x:v>
      </x:c>
      <x:c r="B107" s="15" t="str">
        <x:v>T</x:v>
      </x:c>
      <x:c r="C107" s="15" t="str">
        <x:v>57</x:v>
      </x:c>
      <x:c r="D107" s="15" t="str">
        <x:v>sante_invalidite_inaptitude</x:v>
      </x:c>
      <x:c r="E107" s="18" t="n">
        <x:v>9</x:v>
      </x:c>
      <x:c r="F107" s="15" t="str">
        <x:v>data/sources/drees/62 EACR diffusée Part 2 - version du 26 mai 2026.xlsx</x:v>
      </x:c>
      <x:c r="G107" s="15" t="str">
        <x:v>H-Conditions_liq</x:v>
      </x:c>
      <x:c r="H107" s="15" t="str">
        <x:v>124720</x:v>
      </x:c>
      <x:c r="I107" s="15" t="str">
        <x:v>Observé regroupé, non actif</x:v>
      </x:c>
    </x:row>
    <x:row r="108" ht="54" customHeight="1">
      <x:c r="A108" s="16" t="n">
        <x:v>2024</x:v>
      </x:c>
      <x:c r="B108" s="16" t="str">
        <x:v>T</x:v>
      </x:c>
      <x:c r="C108" s="16" t="str">
        <x:v>58</x:v>
      </x:c>
      <x:c r="D108" s="16" t="str">
        <x:v>autres</x:v>
      </x:c>
      <x:c r="E108" s="17" t="n">
        <x:v>284</x:v>
      </x:c>
      <x:c r="F108" s="16" t="str">
        <x:v>data/sources/drees/62 EACR diffusée Part 2 - version du 26 mai 2026.xlsx</x:v>
      </x:c>
      <x:c r="G108" s="16" t="str">
        <x:v>H-Conditions_liq</x:v>
      </x:c>
      <x:c r="H108" s="16" t="str">
        <x:v>124764</x:v>
      </x:c>
      <x:c r="I108" s="16" t="str">
        <x:v>Observé regroupé, non actif</x:v>
      </x:c>
    </x:row>
    <x:row r="109" ht="54" customHeight="1">
      <x:c r="A109" s="15" t="n">
        <x:v>2024</x:v>
      </x:c>
      <x:c r="B109" s="15" t="str">
        <x:v>T</x:v>
      </x:c>
      <x:c r="C109" s="15" t="str">
        <x:v>58</x:v>
      </x:c>
      <x:c r="D109" s="15" t="str">
        <x:v>carriere_longue</x:v>
      </x:c>
      <x:c r="E109" s="18" t="n">
        <x:v>28</x:v>
      </x:c>
      <x:c r="F109" s="15" t="str">
        <x:v>data/sources/drees/62 EACR diffusée Part 2 - version du 26 mai 2026.xlsx</x:v>
      </x:c>
      <x:c r="G109" s="15" t="str">
        <x:v>H-Conditions_liq</x:v>
      </x:c>
      <x:c r="H109" s="15" t="str">
        <x:v>124743</x:v>
      </x:c>
      <x:c r="I109" s="15" t="str">
        <x:v>Observé regroupé, non actif</x:v>
      </x:c>
    </x:row>
    <x:row r="110" ht="54" customHeight="1">
      <x:c r="A110" s="16" t="n">
        <x:v>2024</x:v>
      </x:c>
      <x:c r="B110" s="16" t="str">
        <x:v>T</x:v>
      </x:c>
      <x:c r="C110" s="16" t="str">
        <x:v>58</x:v>
      </x:c>
      <x:c r="D110" s="16" t="str">
        <x:v>sante_invalidite_inaptitude</x:v>
      </x:c>
      <x:c r="E110" s="17" t="n">
        <x:v>12</x:v>
      </x:c>
      <x:c r="F110" s="16" t="str">
        <x:v>data/sources/drees/62 EACR diffusée Part 2 - version du 26 mai 2026.xlsx</x:v>
      </x:c>
      <x:c r="G110" s="16" t="str">
        <x:v>H-Conditions_liq</x:v>
      </x:c>
      <x:c r="H110" s="16" t="str">
        <x:v>124721</x:v>
      </x:c>
      <x:c r="I110" s="16" t="str">
        <x:v>Observé regroupé, non actif</x:v>
      </x:c>
    </x:row>
    <x:row r="111" ht="54" customHeight="1">
      <x:c r="A111" s="15" t="n">
        <x:v>2024</x:v>
      </x:c>
      <x:c r="B111" s="15" t="str">
        <x:v>T</x:v>
      </x:c>
      <x:c r="C111" s="15" t="str">
        <x:v>59</x:v>
      </x:c>
      <x:c r="D111" s="15" t="str">
        <x:v>autres</x:v>
      </x:c>
      <x:c r="E111" s="18" t="n">
        <x:v>401</x:v>
      </x:c>
      <x:c r="F111" s="15" t="str">
        <x:v>data/sources/drees/62 EACR diffusée Part 2 - version du 26 mai 2026.xlsx</x:v>
      </x:c>
      <x:c r="G111" s="15" t="str">
        <x:v>H-Conditions_liq</x:v>
      </x:c>
      <x:c r="H111" s="15" t="str">
        <x:v>124765|124783</x:v>
      </x:c>
      <x:c r="I111" s="15" t="str">
        <x:v>Observé regroupé, non actif</x:v>
      </x:c>
    </x:row>
    <x:row r="112" ht="54" customHeight="1">
      <x:c r="A112" s="16" t="n">
        <x:v>2024</x:v>
      </x:c>
      <x:c r="B112" s="16" t="str">
        <x:v>T</x:v>
      </x:c>
      <x:c r="C112" s="16" t="str">
        <x:v>59</x:v>
      </x:c>
      <x:c r="D112" s="16" t="str">
        <x:v>carriere_longue</x:v>
      </x:c>
      <x:c r="E112" s="17" t="n">
        <x:v>139</x:v>
      </x:c>
      <x:c r="F112" s="16" t="str">
        <x:v>data/sources/drees/62 EACR diffusée Part 2 - version du 26 mai 2026.xlsx</x:v>
      </x:c>
      <x:c r="G112" s="16" t="str">
        <x:v>H-Conditions_liq</x:v>
      </x:c>
      <x:c r="H112" s="16" t="str">
        <x:v>124744</x:v>
      </x:c>
      <x:c r="I112" s="16" t="str">
        <x:v>Observé regroupé, non actif</x:v>
      </x:c>
    </x:row>
    <x:row r="113" ht="54" customHeight="1">
      <x:c r="A113" s="15" t="n">
        <x:v>2024</x:v>
      </x:c>
      <x:c r="B113" s="15" t="str">
        <x:v>T</x:v>
      </x:c>
      <x:c r="C113" s="15" t="str">
        <x:v>59</x:v>
      </x:c>
      <x:c r="D113" s="15" t="str">
        <x:v>sante_invalidite_inaptitude</x:v>
      </x:c>
      <x:c r="E113" s="18" t="n">
        <x:v>21</x:v>
      </x:c>
      <x:c r="F113" s="15" t="str">
        <x:v>data/sources/drees/62 EACR diffusée Part 2 - version du 26 mai 2026.xlsx</x:v>
      </x:c>
      <x:c r="G113" s="15" t="str">
        <x:v>H-Conditions_liq</x:v>
      </x:c>
      <x:c r="H113" s="15" t="str">
        <x:v>124722</x:v>
      </x:c>
      <x:c r="I113" s="15" t="str">
        <x:v>Observé regroupé, non actif</x:v>
      </x:c>
    </x:row>
    <x:row r="114" ht="54" customHeight="1">
      <x:c r="A114" s="16" t="n">
        <x:v>2024</x:v>
      </x:c>
      <x:c r="B114" s="16" t="str">
        <x:v>T</x:v>
      </x:c>
      <x:c r="C114" s="16" t="str">
        <x:v>60</x:v>
      </x:c>
      <x:c r="D114" s="16" t="str">
        <x:v>autres</x:v>
      </x:c>
      <x:c r="E114" s="17" t="n">
        <x:v>569</x:v>
      </x:c>
      <x:c r="F114" s="16" t="str">
        <x:v>data/sources/drees/62 EACR diffusée Part 2 - version du 26 mai 2026.xlsx</x:v>
      </x:c>
      <x:c r="G114" s="16" t="str">
        <x:v>H-Conditions_liq</x:v>
      </x:c>
      <x:c r="H114" s="16" t="str">
        <x:v>124766</x:v>
      </x:c>
      <x:c r="I114" s="16" t="str">
        <x:v>Observé regroupé, non actif</x:v>
      </x:c>
    </x:row>
    <x:row r="115" ht="54" customHeight="1">
      <x:c r="A115" s="15" t="n">
        <x:v>2024</x:v>
      </x:c>
      <x:c r="B115" s="15" t="str">
        <x:v>T</x:v>
      </x:c>
      <x:c r="C115" s="15" t="str">
        <x:v>60</x:v>
      </x:c>
      <x:c r="D115" s="15" t="str">
        <x:v>carriere_longue</x:v>
      </x:c>
      <x:c r="E115" s="18" t="n">
        <x:v>32232</x:v>
      </x:c>
      <x:c r="F115" s="15" t="str">
        <x:v>data/sources/drees/62 EACR diffusée Part 2 - version du 26 mai 2026.xlsx</x:v>
      </x:c>
      <x:c r="G115" s="15" t="str">
        <x:v>H-Conditions_liq</x:v>
      </x:c>
      <x:c r="H115" s="15" t="str">
        <x:v>124745</x:v>
      </x:c>
      <x:c r="I115" s="15" t="str">
        <x:v>Observé regroupé, non actif</x:v>
      </x:c>
    </x:row>
    <x:row r="116" ht="54" customHeight="1">
      <x:c r="A116" s="16" t="n">
        <x:v>2024</x:v>
      </x:c>
      <x:c r="B116" s="16" t="str">
        <x:v>T</x:v>
      </x:c>
      <x:c r="C116" s="16" t="str">
        <x:v>60</x:v>
      </x:c>
      <x:c r="D116" s="16" t="str">
        <x:v>droit_commun</x:v>
      </x:c>
      <x:c r="E116" s="17" t="n">
        <x:v>8</x:v>
      </x:c>
      <x:c r="F116" s="16" t="str">
        <x:v>data/sources/drees/62 EACR diffusée Part 2 - version du 26 mai 2026.xlsx</x:v>
      </x:c>
      <x:c r="G116" s="16" t="str">
        <x:v>H-Conditions_liq</x:v>
      </x:c>
      <x:c r="H116" s="16" t="str">
        <x:v>124825</x:v>
      </x:c>
      <x:c r="I116" s="16" t="str">
        <x:v>Observé regroupé, non actif</x:v>
      </x:c>
    </x:row>
    <x:row r="117" ht="54" customHeight="1">
      <x:c r="A117" s="15" t="n">
        <x:v>2024</x:v>
      </x:c>
      <x:c r="B117" s="15" t="str">
        <x:v>T</x:v>
      </x:c>
      <x:c r="C117" s="15" t="str">
        <x:v>60</x:v>
      </x:c>
      <x:c r="D117" s="15" t="str">
        <x:v>sante_invalidite_inaptitude</x:v>
      </x:c>
      <x:c r="E117" s="18" t="n">
        <x:v>2554</x:v>
      </x:c>
      <x:c r="F117" s="15" t="str">
        <x:v>data/sources/drees/62 EACR diffusée Part 2 - version du 26 mai 2026.xlsx</x:v>
      </x:c>
      <x:c r="G117" s="15" t="str">
        <x:v>H-Conditions_liq</x:v>
      </x:c>
      <x:c r="H117" s="15" t="str">
        <x:v>124595|124621|124723</x:v>
      </x:c>
      <x:c r="I117" s="15" t="str">
        <x:v>Observé regroupé, non actif</x:v>
      </x:c>
    </x:row>
    <x:row r="118" ht="54" customHeight="1">
      <x:c r="A118" s="16" t="n">
        <x:v>2024</x:v>
      </x:c>
      <x:c r="B118" s="16" t="str">
        <x:v>T</x:v>
      </x:c>
      <x:c r="C118" s="16" t="str">
        <x:v>61</x:v>
      </x:c>
      <x:c r="D118" s="16" t="str">
        <x:v>autres</x:v>
      </x:c>
      <x:c r="E118" s="17" t="n">
        <x:v>415</x:v>
      </x:c>
      <x:c r="F118" s="16" t="str">
        <x:v>data/sources/drees/62 EACR diffusée Part 2 - version du 26 mai 2026.xlsx</x:v>
      </x:c>
      <x:c r="G118" s="16" t="str">
        <x:v>H-Conditions_liq</x:v>
      </x:c>
      <x:c r="H118" s="16" t="str">
        <x:v>124767|124784</x:v>
      </x:c>
      <x:c r="I118" s="16" t="str">
        <x:v>Observé regroupé, non actif</x:v>
      </x:c>
    </x:row>
    <x:row r="119" ht="54" customHeight="1">
      <x:c r="A119" s="15" t="n">
        <x:v>2024</x:v>
      </x:c>
      <x:c r="B119" s="15" t="str">
        <x:v>T</x:v>
      </x:c>
      <x:c r="C119" s="15" t="str">
        <x:v>61</x:v>
      </x:c>
      <x:c r="D119" s="15" t="str">
        <x:v>carriere_longue</x:v>
      </x:c>
      <x:c r="E119" s="18" t="n">
        <x:v>49576</x:v>
      </x:c>
      <x:c r="F119" s="15" t="str">
        <x:v>data/sources/drees/62 EACR diffusée Part 2 - version du 26 mai 2026.xlsx</x:v>
      </x:c>
      <x:c r="G119" s="15" t="str">
        <x:v>H-Conditions_liq</x:v>
      </x:c>
      <x:c r="H119" s="15" t="str">
        <x:v>124746</x:v>
      </x:c>
      <x:c r="I119" s="15" t="str">
        <x:v>Observé regroupé, non actif</x:v>
      </x:c>
    </x:row>
    <x:row r="120" ht="54" customHeight="1">
      <x:c r="A120" s="16" t="n">
        <x:v>2024</x:v>
      </x:c>
      <x:c r="B120" s="16" t="str">
        <x:v>T</x:v>
      </x:c>
      <x:c r="C120" s="16" t="str">
        <x:v>61</x:v>
      </x:c>
      <x:c r="D120" s="16" t="str">
        <x:v>droit_commun</x:v>
      </x:c>
      <x:c r="E120" s="17" t="n">
        <x:v>9777</x:v>
      </x:c>
      <x:c r="F120" s="16" t="str">
        <x:v>data/sources/drees/62 EACR diffusée Part 2 - version du 26 mai 2026.xlsx</x:v>
      </x:c>
      <x:c r="G120" s="16" t="str">
        <x:v>H-Conditions_liq</x:v>
      </x:c>
      <x:c r="H120" s="16" t="str">
        <x:v>124826</x:v>
      </x:c>
      <x:c r="I120" s="16" t="str">
        <x:v>Observé regroupé, non actif</x:v>
      </x:c>
    </x:row>
    <x:row r="121" ht="54" customHeight="1">
      <x:c r="A121" s="15" t="n">
        <x:v>2024</x:v>
      </x:c>
      <x:c r="B121" s="15" t="str">
        <x:v>T</x:v>
      </x:c>
      <x:c r="C121" s="15" t="str">
        <x:v>61</x:v>
      </x:c>
      <x:c r="D121" s="15" t="str">
        <x:v>sante_invalidite_inaptitude</x:v>
      </x:c>
      <x:c r="E121" s="18" t="n">
        <x:v>2246</x:v>
      </x:c>
      <x:c r="F121" s="15" t="str">
        <x:v>data/sources/drees/62 EACR diffusée Part 2 - version du 26 mai 2026.xlsx</x:v>
      </x:c>
      <x:c r="G121" s="15" t="str">
        <x:v>H-Conditions_liq</x:v>
      </x:c>
      <x:c r="H121" s="15" t="str">
        <x:v>124596|124622|124650|124724</x:v>
      </x:c>
      <x:c r="I121" s="15" t="str">
        <x:v>Observé regroupé, non actif</x:v>
      </x:c>
    </x:row>
    <x:row r="122" ht="54" customHeight="1">
      <x:c r="A122" s="16" t="n">
        <x:v>2024</x:v>
      </x:c>
      <x:c r="B122" s="16" t="str">
        <x:v>T</x:v>
      </x:c>
      <x:c r="C122" s="16" t="str">
        <x:v>62</x:v>
      </x:c>
      <x:c r="D122" s="16" t="str">
        <x:v>autres</x:v>
      </x:c>
      <x:c r="E122" s="17" t="n">
        <x:v>466</x:v>
      </x:c>
      <x:c r="F122" s="16" t="str">
        <x:v>data/sources/drees/62 EACR diffusée Part 2 - version du 26 mai 2026.xlsx</x:v>
      </x:c>
      <x:c r="G122" s="16" t="str">
        <x:v>H-Conditions_liq</x:v>
      </x:c>
      <x:c r="H122" s="16" t="str">
        <x:v>124768|124785</x:v>
      </x:c>
      <x:c r="I122" s="16" t="str">
        <x:v>Observé regroupé, non actif</x:v>
      </x:c>
    </x:row>
    <x:row r="123" ht="54" customHeight="1">
      <x:c r="A123" s="15" t="n">
        <x:v>2024</x:v>
      </x:c>
      <x:c r="B123" s="15" t="str">
        <x:v>T</x:v>
      </x:c>
      <x:c r="C123" s="15" t="str">
        <x:v>62</x:v>
      </x:c>
      <x:c r="D123" s="15" t="str">
        <x:v>carriere_longue</x:v>
      </x:c>
      <x:c r="E123" s="18" t="n">
        <x:v>29393</x:v>
      </x:c>
      <x:c r="F123" s="15" t="str">
        <x:v>data/sources/drees/62 EACR diffusée Part 2 - version du 26 mai 2026.xlsx</x:v>
      </x:c>
      <x:c r="G123" s="15" t="str">
        <x:v>H-Conditions_liq</x:v>
      </x:c>
      <x:c r="H123" s="15" t="str">
        <x:v>124747</x:v>
      </x:c>
      <x:c r="I123" s="15" t="str">
        <x:v>Observé regroupé, non actif</x:v>
      </x:c>
    </x:row>
    <x:row r="124" ht="54" customHeight="1">
      <x:c r="A124" s="16" t="n">
        <x:v>2024</x:v>
      </x:c>
      <x:c r="B124" s="16" t="str">
        <x:v>T</x:v>
      </x:c>
      <x:c r="C124" s="16" t="str">
        <x:v>62</x:v>
      </x:c>
      <x:c r="D124" s="16" t="str">
        <x:v>droit_commun</x:v>
      </x:c>
      <x:c r="E124" s="17" t="n">
        <x:v>64096</x:v>
      </x:c>
      <x:c r="F124" s="16" t="str">
        <x:v>data/sources/drees/62 EACR diffusée Part 2 - version du 26 mai 2026.xlsx</x:v>
      </x:c>
      <x:c r="G124" s="16" t="str">
        <x:v>H-Conditions_liq</x:v>
      </x:c>
      <x:c r="H124" s="16" t="str">
        <x:v>124827</x:v>
      </x:c>
      <x:c r="I124" s="16" t="str">
        <x:v>Observé regroupé, non actif</x:v>
      </x:c>
    </x:row>
    <x:row r="125" ht="54" customHeight="1">
      <x:c r="A125" s="15" t="n">
        <x:v>2024</x:v>
      </x:c>
      <x:c r="B125" s="15" t="str">
        <x:v>T</x:v>
      </x:c>
      <x:c r="C125" s="15" t="str">
        <x:v>62</x:v>
      </x:c>
      <x:c r="D125" s="15" t="str">
        <x:v>sante_invalidite_inaptitude</x:v>
      </x:c>
      <x:c r="E125" s="18" t="n">
        <x:v>90917</x:v>
      </x:c>
      <x:c r="F125" s="15" t="str">
        <x:v>data/sources/drees/62 EACR diffusée Part 2 - version du 26 mai 2026.xlsx</x:v>
      </x:c>
      <x:c r="G125" s="15" t="str">
        <x:v>H-Conditions_liq</x:v>
      </x:c>
      <x:c r="H125" s="15" t="str">
        <x:v>124597|124623|124651|124680|124725</x:v>
      </x:c>
      <x:c r="I125" s="15" t="str">
        <x:v>Observé regroupé, non actif</x:v>
      </x:c>
    </x:row>
    <x:row r="126" ht="54" customHeight="1">
      <x:c r="A126" s="16" t="n">
        <x:v>2024</x:v>
      </x:c>
      <x:c r="B126" s="16" t="str">
        <x:v>T</x:v>
      </x:c>
      <x:c r="C126" s="16" t="str">
        <x:v>63</x:v>
      </x:c>
      <x:c r="D126" s="16" t="str">
        <x:v>autres</x:v>
      </x:c>
      <x:c r="E126" s="17" t="n">
        <x:v>221</x:v>
      </x:c>
      <x:c r="F126" s="16" t="str">
        <x:v>data/sources/drees/62 EACR diffusée Part 2 - version du 26 mai 2026.xlsx</x:v>
      </x:c>
      <x:c r="G126" s="16" t="str">
        <x:v>H-Conditions_liq</x:v>
      </x:c>
      <x:c r="H126" s="16" t="str">
        <x:v>124769|124786</x:v>
      </x:c>
      <x:c r="I126" s="16" t="str">
        <x:v>Observé regroupé, non actif</x:v>
      </x:c>
    </x:row>
    <x:row r="127" ht="54" customHeight="1">
      <x:c r="A127" s="15" t="n">
        <x:v>2024</x:v>
      </x:c>
      <x:c r="B127" s="15" t="str">
        <x:v>T</x:v>
      </x:c>
      <x:c r="C127" s="15" t="str">
        <x:v>63</x:v>
      </x:c>
      <x:c r="D127" s="15" t="str">
        <x:v>carriere_longue</x:v>
      </x:c>
      <x:c r="E127" s="18" t="n">
        <x:v>1728</x:v>
      </x:c>
      <x:c r="F127" s="15" t="str">
        <x:v>data/sources/drees/62 EACR diffusée Part 2 - version du 26 mai 2026.xlsx</x:v>
      </x:c>
      <x:c r="G127" s="15" t="str">
        <x:v>H-Conditions_liq</x:v>
      </x:c>
      <x:c r="H127" s="15" t="str">
        <x:v>124748</x:v>
      </x:c>
      <x:c r="I127" s="15" t="str">
        <x:v>Observé regroupé, non actif</x:v>
      </x:c>
    </x:row>
    <x:row r="128" ht="54" customHeight="1">
      <x:c r="A128" s="16" t="n">
        <x:v>2024</x:v>
      </x:c>
      <x:c r="B128" s="16" t="str">
        <x:v>T</x:v>
      </x:c>
      <x:c r="C128" s="16" t="str">
        <x:v>63</x:v>
      </x:c>
      <x:c r="D128" s="16" t="str">
        <x:v>droit_commun</x:v>
      </x:c>
      <x:c r="E128" s="17" t="n">
        <x:v>110112</x:v>
      </x:c>
      <x:c r="F128" s="16" t="str">
        <x:v>data/sources/drees/62 EACR diffusée Part 2 - version du 26 mai 2026.xlsx</x:v>
      </x:c>
      <x:c r="G128" s="16" t="str">
        <x:v>H-Conditions_liq</x:v>
      </x:c>
      <x:c r="H128" s="16" t="str">
        <x:v>124828</x:v>
      </x:c>
      <x:c r="I128" s="16" t="str">
        <x:v>Observé regroupé, non actif</x:v>
      </x:c>
    </x:row>
    <x:row r="129" ht="54" customHeight="1">
      <x:c r="A129" s="15" t="n">
        <x:v>2024</x:v>
      </x:c>
      <x:c r="B129" s="15" t="str">
        <x:v>T</x:v>
      </x:c>
      <x:c r="C129" s="15" t="str">
        <x:v>63</x:v>
      </x:c>
      <x:c r="D129" s="15" t="str">
        <x:v>sante_invalidite_inaptitude</x:v>
      </x:c>
      <x:c r="E129" s="18" t="n">
        <x:v>16841</x:v>
      </x:c>
      <x:c r="F129" s="15" t="str">
        <x:v>data/sources/drees/62 EACR diffusée Part 2 - version du 26 mai 2026.xlsx</x:v>
      </x:c>
      <x:c r="G129" s="15" t="str">
        <x:v>H-Conditions_liq</x:v>
      </x:c>
      <x:c r="H129" s="15" t="str">
        <x:v>124598|124624|124652|124681|124726</x:v>
      </x:c>
      <x:c r="I129" s="15" t="str">
        <x:v>Observé regroupé, non actif</x:v>
      </x:c>
    </x:row>
    <x:row r="130" ht="54" customHeight="1">
      <x:c r="A130" s="16" t="n">
        <x:v>2024</x:v>
      </x:c>
      <x:c r="B130" s="16" t="str">
        <x:v>T</x:v>
      </x:c>
      <x:c r="C130" s="16" t="str">
        <x:v>64</x:v>
      </x:c>
      <x:c r="D130" s="16" t="str">
        <x:v>autres</x:v>
      </x:c>
      <x:c r="E130" s="17" t="n">
        <x:v>89</x:v>
      </x:c>
      <x:c r="F130" s="16" t="str">
        <x:v>data/sources/drees/62 EACR diffusée Part 2 - version du 26 mai 2026.xlsx</x:v>
      </x:c>
      <x:c r="G130" s="16" t="str">
        <x:v>H-Conditions_liq</x:v>
      </x:c>
      <x:c r="H130" s="16" t="str">
        <x:v>124787</x:v>
      </x:c>
      <x:c r="I130" s="16" t="str">
        <x:v>Observé regroupé, non actif</x:v>
      </x:c>
    </x:row>
    <x:row r="131" ht="54" customHeight="1">
      <x:c r="A131" s="15" t="n">
        <x:v>2024</x:v>
      </x:c>
      <x:c r="B131" s="15" t="str">
        <x:v>T</x:v>
      </x:c>
      <x:c r="C131" s="15" t="str">
        <x:v>64</x:v>
      </x:c>
      <x:c r="D131" s="15" t="str">
        <x:v>droit_commun</x:v>
      </x:c>
      <x:c r="E131" s="18" t="n">
        <x:v>46606</x:v>
      </x:c>
      <x:c r="F131" s="15" t="str">
        <x:v>data/sources/drees/62 EACR diffusée Part 2 - version du 26 mai 2026.xlsx</x:v>
      </x:c>
      <x:c r="G131" s="15" t="str">
        <x:v>H-Conditions_liq</x:v>
      </x:c>
      <x:c r="H131" s="15" t="str">
        <x:v>124829</x:v>
      </x:c>
      <x:c r="I131" s="15" t="str">
        <x:v>Observé regroupé, non actif</x:v>
      </x:c>
    </x:row>
    <x:row r="132" ht="54" customHeight="1">
      <x:c r="A132" s="16" t="n">
        <x:v>2024</x:v>
      </x:c>
      <x:c r="B132" s="16" t="str">
        <x:v>T</x:v>
      </x:c>
      <x:c r="C132" s="16" t="str">
        <x:v>64</x:v>
      </x:c>
      <x:c r="D132" s="16" t="str">
        <x:v>sante_invalidite_inaptitude</x:v>
      </x:c>
      <x:c r="E132" s="17" t="n">
        <x:v>4673</x:v>
      </x:c>
      <x:c r="F132" s="16" t="str">
        <x:v>data/sources/drees/62 EACR diffusée Part 2 - version du 26 mai 2026.xlsx</x:v>
      </x:c>
      <x:c r="G132" s="16" t="str">
        <x:v>H-Conditions_liq</x:v>
      </x:c>
      <x:c r="H132" s="16" t="str">
        <x:v>124599|124625|124653|124682|124727</x:v>
      </x:c>
      <x:c r="I132" s="16" t="str">
        <x:v>Observé regroupé, non actif</x:v>
      </x:c>
    </x:row>
    <x:row r="133" ht="54" customHeight="1">
      <x:c r="A133" s="15" t="n">
        <x:v>2024</x:v>
      </x:c>
      <x:c r="B133" s="15" t="str">
        <x:v>T</x:v>
      </x:c>
      <x:c r="C133" s="15" t="str">
        <x:v>65</x:v>
      </x:c>
      <x:c r="D133" s="15" t="str">
        <x:v>autres</x:v>
      </x:c>
      <x:c r="E133" s="18" t="n">
        <x:v>192</x:v>
      </x:c>
      <x:c r="F133" s="15" t="str">
        <x:v>data/sources/drees/62 EACR diffusée Part 2 - version du 26 mai 2026.xlsx</x:v>
      </x:c>
      <x:c r="G133" s="15" t="str">
        <x:v>H-Conditions_liq</x:v>
      </x:c>
      <x:c r="H133" s="15" t="str">
        <x:v>124770|124788</x:v>
      </x:c>
      <x:c r="I133" s="15" t="str">
        <x:v>Observé regroupé, non actif</x:v>
      </x:c>
    </x:row>
    <x:row r="134" ht="54" customHeight="1">
      <x:c r="A134" s="16" t="n">
        <x:v>2024</x:v>
      </x:c>
      <x:c r="B134" s="16" t="str">
        <x:v>T</x:v>
      </x:c>
      <x:c r="C134" s="16" t="str">
        <x:v>65</x:v>
      </x:c>
      <x:c r="D134" s="16" t="str">
        <x:v>droit_commun</x:v>
      </x:c>
      <x:c r="E134" s="17" t="n">
        <x:v>42375</x:v>
      </x:c>
      <x:c r="F134" s="16" t="str">
        <x:v>data/sources/drees/62 EACR diffusée Part 2 - version du 26 mai 2026.xlsx</x:v>
      </x:c>
      <x:c r="G134" s="16" t="str">
        <x:v>H-Conditions_liq</x:v>
      </x:c>
      <x:c r="H134" s="16" t="str">
        <x:v>124830</x:v>
      </x:c>
      <x:c r="I134" s="16" t="str">
        <x:v>Observé regroupé, non actif</x:v>
      </x:c>
    </x:row>
    <x:row r="135" ht="54" customHeight="1">
      <x:c r="A135" s="15" t="n">
        <x:v>2024</x:v>
      </x:c>
      <x:c r="B135" s="15" t="str">
        <x:v>T</x:v>
      </x:c>
      <x:c r="C135" s="15" t="str">
        <x:v>65</x:v>
      </x:c>
      <x:c r="D135" s="15" t="str">
        <x:v>sante_invalidite_inaptitude</x:v>
      </x:c>
      <x:c r="E135" s="18" t="n">
        <x:v>4170</x:v>
      </x:c>
      <x:c r="F135" s="15" t="str">
        <x:v>data/sources/drees/62 EACR diffusée Part 2 - version du 26 mai 2026.xlsx</x:v>
      </x:c>
      <x:c r="G135" s="15" t="str">
        <x:v>H-Conditions_liq</x:v>
      </x:c>
      <x:c r="H135" s="15" t="str">
        <x:v>124600|124626|124654|124683|124728</x:v>
      </x:c>
      <x:c r="I135" s="15" t="str">
        <x:v>Observé regroupé, non actif</x:v>
      </x:c>
    </x:row>
    <x:row r="136" ht="54" customHeight="1">
      <x:c r="A136" s="16" t="n">
        <x:v>2024</x:v>
      </x:c>
      <x:c r="B136" s="16" t="str">
        <x:v>T</x:v>
      </x:c>
      <x:c r="C136" s="16" t="str">
        <x:v>66</x:v>
      </x:c>
      <x:c r="D136" s="16" t="str">
        <x:v>autres</x:v>
      </x:c>
      <x:c r="E136" s="17" t="n">
        <x:v>115</x:v>
      </x:c>
      <x:c r="F136" s="16" t="str">
        <x:v>data/sources/drees/62 EACR diffusée Part 2 - version du 26 mai 2026.xlsx</x:v>
      </x:c>
      <x:c r="G136" s="16" t="str">
        <x:v>H-Conditions_liq</x:v>
      </x:c>
      <x:c r="H136" s="16" t="str">
        <x:v>124789</x:v>
      </x:c>
      <x:c r="I136" s="16" t="str">
        <x:v>Observé regroupé, non actif</x:v>
      </x:c>
    </x:row>
    <x:row r="137" ht="54" customHeight="1">
      <x:c r="A137" s="15" t="n">
        <x:v>2024</x:v>
      </x:c>
      <x:c r="B137" s="15" t="str">
        <x:v>T</x:v>
      </x:c>
      <x:c r="C137" s="15" t="str">
        <x:v>66</x:v>
      </x:c>
      <x:c r="D137" s="15" t="str">
        <x:v>droit_commun</x:v>
      </x:c>
      <x:c r="E137" s="18" t="n">
        <x:v>26694</x:v>
      </x:c>
      <x:c r="F137" s="15" t="str">
        <x:v>data/sources/drees/62 EACR diffusée Part 2 - version du 26 mai 2026.xlsx</x:v>
      </x:c>
      <x:c r="G137" s="15" t="str">
        <x:v>H-Conditions_liq</x:v>
      </x:c>
      <x:c r="H137" s="15" t="str">
        <x:v>124831</x:v>
      </x:c>
      <x:c r="I137" s="15" t="str">
        <x:v>Observé regroupé, non actif</x:v>
      </x:c>
    </x:row>
    <x:row r="138" ht="54" customHeight="1">
      <x:c r="A138" s="16" t="n">
        <x:v>2024</x:v>
      </x:c>
      <x:c r="B138" s="16" t="str">
        <x:v>T</x:v>
      </x:c>
      <x:c r="C138" s="16" t="str">
        <x:v>66</x:v>
      </x:c>
      <x:c r="D138" s="16" t="str">
        <x:v>sante_invalidite_inaptitude</x:v>
      </x:c>
      <x:c r="E138" s="17" t="n">
        <x:v>2433</x:v>
      </x:c>
      <x:c r="F138" s="16" t="str">
        <x:v>data/sources/drees/62 EACR diffusée Part 2 - version du 26 mai 2026.xlsx</x:v>
      </x:c>
      <x:c r="G138" s="16" t="str">
        <x:v>H-Conditions_liq</x:v>
      </x:c>
      <x:c r="H138" s="16" t="str">
        <x:v>124601|124627|124655|124684|124729</x:v>
      </x:c>
      <x:c r="I138" s="16" t="str">
        <x:v>Observé regroupé, non actif</x:v>
      </x:c>
    </x:row>
    <x:row r="139" ht="54" customHeight="1">
      <x:c r="A139" s="15" t="n">
        <x:v>2024</x:v>
      </x:c>
      <x:c r="B139" s="15" t="str">
        <x:v>T</x:v>
      </x:c>
      <x:c r="C139" s="15" t="str">
        <x:v>67</x:v>
      </x:c>
      <x:c r="D139" s="15" t="str">
        <x:v>autres</x:v>
      </x:c>
      <x:c r="E139" s="18" t="n">
        <x:v>48</x:v>
      </x:c>
      <x:c r="F139" s="15" t="str">
        <x:v>data/sources/drees/62 EACR diffusée Part 2 - version du 26 mai 2026.xlsx</x:v>
      </x:c>
      <x:c r="G139" s="15" t="str">
        <x:v>H-Conditions_liq</x:v>
      </x:c>
      <x:c r="H139" s="15" t="str">
        <x:v>124790</x:v>
      </x:c>
      <x:c r="I139" s="15" t="str">
        <x:v>Observé regroupé, non actif</x:v>
      </x:c>
    </x:row>
    <x:row r="140" ht="54" customHeight="1">
      <x:c r="A140" s="16" t="n">
        <x:v>2024</x:v>
      </x:c>
      <x:c r="B140" s="16" t="str">
        <x:v>T</x:v>
      </x:c>
      <x:c r="C140" s="16" t="str">
        <x:v>67</x:v>
      </x:c>
      <x:c r="D140" s="16" t="str">
        <x:v>droit_commun</x:v>
      </x:c>
      <x:c r="E140" s="17" t="n">
        <x:v>59318</x:v>
      </x:c>
      <x:c r="F140" s="16" t="str">
        <x:v>data/sources/drees/62 EACR diffusée Part 2 - version du 26 mai 2026.xlsx</x:v>
      </x:c>
      <x:c r="G140" s="16" t="str">
        <x:v>H-Conditions_liq</x:v>
      </x:c>
      <x:c r="H140" s="16" t="str">
        <x:v>124832</x:v>
      </x:c>
      <x:c r="I140" s="16" t="str">
        <x:v>Observé regroupé, non actif</x:v>
      </x:c>
    </x:row>
    <x:row r="141" ht="54" customHeight="1">
      <x:c r="A141" s="15" t="n">
        <x:v>2024</x:v>
      </x:c>
      <x:c r="B141" s="15" t="str">
        <x:v>T</x:v>
      </x:c>
      <x:c r="C141" s="15" t="str">
        <x:v>67</x:v>
      </x:c>
      <x:c r="D141" s="15" t="str">
        <x:v>sante_invalidite_inaptitude</x:v>
      </x:c>
      <x:c r="E141" s="18" t="n">
        <x:v>1164</x:v>
      </x:c>
      <x:c r="F141" s="15" t="str">
        <x:v>data/sources/drees/62 EACR diffusée Part 2 - version du 26 mai 2026.xlsx</x:v>
      </x:c>
      <x:c r="G141" s="15" t="str">
        <x:v>H-Conditions_liq</x:v>
      </x:c>
      <x:c r="H141" s="15" t="str">
        <x:v>124602|124628|124656|124685|124730</x:v>
      </x:c>
      <x:c r="I141" s="15" t="str">
        <x:v>Observé regroupé, non actif</x:v>
      </x:c>
    </x:row>
    <x:row r="142" ht="54" customHeight="1">
      <x:c r="A142" s="16" t="n">
        <x:v>2024</x:v>
      </x:c>
      <x:c r="B142" s="16" t="str">
        <x:v>T</x:v>
      </x:c>
      <x:c r="C142" s="16" t="str">
        <x:v>68</x:v>
      </x:c>
      <x:c r="D142" s="16" t="str">
        <x:v>droit_commun</x:v>
      </x:c>
      <x:c r="E142" s="17" t="n">
        <x:v>20228</x:v>
      </x:c>
      <x:c r="F142" s="16" t="str">
        <x:v>data/sources/drees/62 EACR diffusée Part 2 - version du 26 mai 2026.xlsx</x:v>
      </x:c>
      <x:c r="G142" s="16" t="str">
        <x:v>H-Conditions_liq</x:v>
      </x:c>
      <x:c r="H142" s="16" t="str">
        <x:v>124833</x:v>
      </x:c>
      <x:c r="I142" s="16" t="str">
        <x:v>Observé regroupé, non actif</x:v>
      </x:c>
    </x:row>
    <x:row r="143" ht="54" customHeight="1">
      <x:c r="A143" s="15" t="n">
        <x:v>2024</x:v>
      </x:c>
      <x:c r="B143" s="15" t="str">
        <x:v>T</x:v>
      </x:c>
      <x:c r="C143" s="15" t="str">
        <x:v>68</x:v>
      </x:c>
      <x:c r="D143" s="15" t="str">
        <x:v>sante_invalidite_inaptitude</x:v>
      </x:c>
      <x:c r="E143" s="18" t="n">
        <x:v>122</x:v>
      </x:c>
      <x:c r="F143" s="15" t="str">
        <x:v>data/sources/drees/62 EACR diffusée Part 2 - version du 26 mai 2026.xlsx</x:v>
      </x:c>
      <x:c r="G143" s="15" t="str">
        <x:v>H-Conditions_liq</x:v>
      </x:c>
      <x:c r="H143" s="15" t="str">
        <x:v>124657|124686|124731</x:v>
      </x:c>
      <x:c r="I143" s="15" t="str">
        <x:v>Observé regroupé, non actif</x:v>
      </x:c>
    </x:row>
    <x:row r="144" ht="54" customHeight="1">
      <x:c r="A144" s="16" t="n">
        <x:v>2024</x:v>
      </x:c>
      <x:c r="B144" s="16" t="str">
        <x:v>T</x:v>
      </x:c>
      <x:c r="C144" s="16" t="str">
        <x:v>69</x:v>
      </x:c>
      <x:c r="D144" s="16" t="str">
        <x:v>droit_commun</x:v>
      </x:c>
      <x:c r="E144" s="17" t="n">
        <x:v>6944</x:v>
      </x:c>
      <x:c r="F144" s="16" t="str">
        <x:v>data/sources/drees/62 EACR diffusée Part 2 - version du 26 mai 2026.xlsx</x:v>
      </x:c>
      <x:c r="G144" s="16" t="str">
        <x:v>H-Conditions_liq</x:v>
      </x:c>
      <x:c r="H144" s="16" t="str">
        <x:v>124834</x:v>
      </x:c>
      <x:c r="I144" s="16" t="str">
        <x:v>Observé regroupé, non actif</x:v>
      </x:c>
    </x:row>
    <x:row r="145" ht="54" customHeight="1">
      <x:c r="A145" s="15" t="n">
        <x:v>2024</x:v>
      </x:c>
      <x:c r="B145" s="15" t="str">
        <x:v>T</x:v>
      </x:c>
      <x:c r="C145" s="15" t="str">
        <x:v>69</x:v>
      </x:c>
      <x:c r="D145" s="15" t="str">
        <x:v>sante_invalidite_inaptitude</x:v>
      </x:c>
      <x:c r="E145" s="18" t="n">
        <x:v>25</x:v>
      </x:c>
      <x:c r="F145" s="15" t="str">
        <x:v>data/sources/drees/62 EACR diffusée Part 2 - version du 26 mai 2026.xlsx</x:v>
      </x:c>
      <x:c r="G145" s="15" t="str">
        <x:v>H-Conditions_liq</x:v>
      </x:c>
      <x:c r="H145" s="15" t="str">
        <x:v>124603|124658|124687|124732</x:v>
      </x:c>
      <x:c r="I145" s="15" t="str">
        <x:v>Observé regroupé, non actif</x:v>
      </x:c>
    </x:row>
    <x:row r="146" ht="54" customHeight="1">
      <x:c r="A146" s="16" t="n">
        <x:v>2024</x:v>
      </x:c>
      <x:c r="B146" s="16" t="str">
        <x:v>T</x:v>
      </x:c>
      <x:c r="C146" s="16" t="str">
        <x:v>70</x:v>
      </x:c>
      <x:c r="D146" s="16" t="str">
        <x:v>droit_commun</x:v>
      </x:c>
      <x:c r="E146" s="17" t="n">
        <x:v>4821</x:v>
      </x:c>
      <x:c r="F146" s="16" t="str">
        <x:v>data/sources/drees/62 EACR diffusée Part 2 - version du 26 mai 2026.xlsx</x:v>
      </x:c>
      <x:c r="G146" s="16" t="str">
        <x:v>H-Conditions_liq</x:v>
      </x:c>
      <x:c r="H146" s="16" t="str">
        <x:v>124835</x:v>
      </x:c>
      <x:c r="I146" s="16" t="str">
        <x:v>Observé regroupé, non actif</x:v>
      </x:c>
    </x:row>
    <x:row r="147" ht="54" customHeight="1">
      <x:c r="A147" s="15" t="n">
        <x:v>2024</x:v>
      </x:c>
      <x:c r="B147" s="15" t="str">
        <x:v>T</x:v>
      </x:c>
      <x:c r="C147" s="15" t="str">
        <x:v>70</x:v>
      </x:c>
      <x:c r="D147" s="15" t="str">
        <x:v>sante_invalidite_inaptitude</x:v>
      </x:c>
      <x:c r="E147" s="18" t="n">
        <x:v>11</x:v>
      </x:c>
      <x:c r="F147" s="15" t="str">
        <x:v>data/sources/drees/62 EACR diffusée Part 2 - version du 26 mai 2026.xlsx</x:v>
      </x:c>
      <x:c r="G147" s="15" t="str">
        <x:v>H-Conditions_liq</x:v>
      </x:c>
      <x:c r="H147" s="15" t="str">
        <x:v>124659|124733</x:v>
      </x:c>
      <x:c r="I147" s="15" t="str">
        <x:v>Observé regroupé, non actif</x:v>
      </x:c>
    </x:row>
    <x:row r="148" ht="54" customHeight="1">
      <x:c r="A148" s="16" t="n">
        <x:v>2024</x:v>
      </x:c>
      <x:c r="B148" s="16" t="str">
        <x:v>T</x:v>
      </x:c>
      <x:c r="C148" s="16" t="str">
        <x:v>&gt;70</x:v>
      </x:c>
      <x:c r="D148" s="16" t="str">
        <x:v>droit_commun</x:v>
      </x:c>
      <x:c r="E148" s="17" t="n">
        <x:v>15557</x:v>
      </x:c>
      <x:c r="F148" s="16" t="str">
        <x:v>data/sources/drees/62 EACR diffusée Part 2 - version du 26 mai 2026.xlsx</x:v>
      </x:c>
      <x:c r="G148" s="16" t="str">
        <x:v>H-Conditions_liq</x:v>
      </x:c>
      <x:c r="H148" s="16" t="str">
        <x:v>124836</x:v>
      </x:c>
      <x:c r="I148" s="16" t="str">
        <x:v>Observé regroupé, non actif</x:v>
      </x:c>
    </x:row>
    <x:row r="149" ht="54" customHeight="1">
      <x:c r="A149" s="15" t="n">
        <x:v>2024</x:v>
      </x:c>
      <x:c r="B149" s="15" t="str">
        <x:v>T</x:v>
      </x:c>
      <x:c r="C149" s="15" t="str">
        <x:v>&gt;70</x:v>
      </x:c>
      <x:c r="D149" s="15" t="str">
        <x:v>sante_invalidite_inaptitude</x:v>
      </x:c>
      <x:c r="E149" s="18" t="n">
        <x:v>24</x:v>
      </x:c>
      <x:c r="F149" s="15" t="str">
        <x:v>data/sources/drees/62 EACR diffusée Part 2 - version du 26 mai 2026.xlsx</x:v>
      </x:c>
      <x:c r="G149" s="15" t="str">
        <x:v>H-Conditions_liq</x:v>
      </x:c>
      <x:c r="H149" s="15" t="str">
        <x:v>124688|124734</x:v>
      </x:c>
      <x:c r="I149" s="15" t="str">
        <x:v>Observé regroupé, non actif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65" hidden="0" customWidth="1"/>
    <x:col min="3" max="3" width="20" hidden="0" customWidth="1"/>
    <x:col min="4" max="4" width="31" hidden="0" customWidth="1"/>
    <x:col min="5" max="5" width="34" hidden="0" customWidth="1"/>
    <x:col min="6" max="6" width="62" hidden="0" customWidth="1"/>
  </x:cols>
  <x:sheetData>
    <x:row r="1">
      <x:c r="A1" s="10" t="str">
        <x:v>Registre du système mathématique</x:v>
      </x:c>
      <x:c r="B1" s="10"/>
      <x:c r="C1" s="10"/>
      <x:c r="D1" s="10"/>
      <x:c r="E1" s="10"/>
      <x:c r="F1" s="10"/>
    </x:row>
    <x:row r="2">
      <x:c r="A2" s="10"/>
      <x:c r="B2" s="10"/>
      <x:c r="C2" s="10"/>
      <x:c r="D2" s="10"/>
      <x:c r="E2" s="10"/>
      <x:c r="F2" s="10"/>
    </x:row>
    <x:row r="3" ht="36" customHeight="1">
      <x:c r="A3" s="12" t="str">
        <x:v>Relations effectivement codées ou prévues : le statut empêche d’assimiler un projet de formule à un calcul livré.</x:v>
      </x:c>
      <x:c r="B3" s="12"/>
      <x:c r="C3" s="12"/>
      <x:c r="D3" s="12"/>
      <x:c r="E3" s="12"/>
      <x:c r="F3" s="12"/>
    </x:row>
    <x:row r="5" ht="32" customHeight="1">
      <x:c r="A5" s="14" t="str">
        <x:v>ID</x:v>
      </x:c>
      <x:c r="B5" s="14" t="str">
        <x:v>Relation</x:v>
      </x:c>
      <x:c r="C5" s="14" t="str">
        <x:v>Unité</x:v>
      </x:c>
      <x:c r="D5" s="14" t="str">
        <x:v>Module</x:v>
      </x:c>
      <x:c r="E5" s="14" t="str">
        <x:v>Statut</x:v>
      </x:c>
      <x:c r="F5" s="14" t="str">
        <x:v>Source / limite</x:v>
      </x:c>
    </x:row>
    <x:row r="6" ht="76" customHeight="1">
      <x:c r="A6" s="16" t="str">
        <x:v>E01</x:v>
      </x:c>
      <x:c r="B6" s="16" t="str">
        <x:v>PA0(a,s,t)=N(a,s,t)*taux_activite0(a,s,t)</x:v>
      </x:c>
      <x:c r="C6" s="16" t="str">
        <x:v>personnes</x:v>
      </x:c>
      <x:c r="D6" s="16" t="str">
        <x:v>activity.py</x:v>
      </x:c>
      <x:c r="E6" s="16" t="str">
        <x:v>Actif</x:v>
      </x:c>
      <x:c r="F6" s="16" t="str">
        <x:v>INSEE + ancrages COR; profil uniforme dans chaque tranche</x:v>
      </x:c>
    </x:row>
    <x:row r="7" ht="76" customHeight="1">
      <x:c r="A7" s="15" t="str">
        <x:v>E02</x:v>
      </x:c>
      <x:c r="B7" s="15" t="str">
        <x:v>E0=PA0-U0 ; I0=N-PA0</x:v>
      </x:c>
      <x:c r="C7" s="15" t="str">
        <x:v>personnes</x:v>
      </x:c>
      <x:c r="D7" s="15" t="str">
        <x:v>labour_baseline.py</x:v>
      </x:c>
      <x:c r="E7" s="15" t="str">
        <x:v>Actif</x:v>
      </x:c>
      <x:c r="F7" s="15" t="str">
        <x:v>Identites; perimetre 15-69 ans</x:v>
      </x:c>
    </x:row>
    <x:row r="8" ht="76" customHeight="1">
      <x:c r="A8" s="16" t="str">
        <x:v>E03</x:v>
      </x:c>
      <x:c r="B8" s="16" t="str">
        <x:v>u(a,s,t)=u2025(a,s)*cibleCOR(t)/moyenne_ponderee(t)</x:v>
      </x:c>
      <x:c r="C8" s="16" t="str">
        <x:v>proportion</x:v>
      </x:c>
      <x:c r="D8" s="16" t="str">
        <x:v>labour_baseline.py</x:v>
      </x:c>
      <x:c r="E8" s="16" t="str">
        <x:v>Actif, hypothese</x:v>
      </x:c>
      <x:c r="F8" s="16" t="str">
        <x:v>Recalage, pas projection COR par age</x:v>
      </x:c>
    </x:row>
    <x:row r="9" ht="76" customHeight="1">
      <x:c r="A9" s="15" t="str">
        <x:v>E04</x:v>
      </x:c>
      <x:c r="B9" s="15" t="str">
        <x:v>AgeReforme(c)=AgeReference(c)+decalage, borne par cible</x:v>
      </x:c>
      <x:c r="C9" s="15" t="str">
        <x:v>mois</x:v>
      </x:c>
      <x:c r="D9" s="15" t="str">
        <x:v>legal.py</x:v>
      </x:c>
      <x:c r="E9" s="15" t="str">
        <x:v>Actif partiel</x:v>
      </x:c>
      <x:c r="F9" s="15" t="str">
        <x:v>Progression supplementaire a une baseline variable</x:v>
      </x:c>
    </x:row>
    <x:row r="10" ht="76" customHeight="1">
      <x:c r="A10" s="16" t="str">
        <x:v>E05</x:v>
      </x:c>
      <x:c r="B10" s="16" t="str">
        <x:v>n_estime(a,s,k)=n(a,s)*part(k|s)</x:v>
      </x:c>
      <x:c r="C10" s="16" t="str">
        <x:v>personnes</x:v>
      </x:c>
      <x:c r="D10" s="16" t="str">
        <x:v>liquidation_reference.py</x:v>
      </x:c>
      <x:c r="E10" s="16" t="str">
        <x:v>Actif provisoire</x:v>
      </x:c>
      <x:c r="F10" s="16" t="str">
        <x:v>Independance age/categorie; croisement observe non encore branche</x:v>
      </x:c>
    </x:row>
    <x:row r="11" ht="76" customHeight="1">
      <x:c r="A11" s="15" t="str">
        <x:v>E06</x:v>
      </x:c>
      <x:c r="B11" s="15" t="str">
        <x:v>AgeReference=64 pour les droits communs estimes de 62-63 ans</x:v>
      </x:c>
      <x:c r="C11" s="15" t="str">
        <x:v>annees</x:v>
      </x:c>
      <x:c r="D11" s="15" t="str">
        <x:v>liquidation_reference.py</x:v>
      </x:c>
      <x:c r="E11" s="15" t="str">
        <x:v>Actif provisoire</x:v>
      </x:c>
      <x:c r="F11" s="15" t="str">
        <x:v>Concentration contrefactuelle non observee</x:v>
      </x:c>
    </x:row>
    <x:row r="12" ht="76" customHeight="1">
      <x:c r="A12" s="16" t="str">
        <x:v>E07</x:v>
      </x:c>
      <x:c r="B12" s="16" t="str">
        <x:v>Stock(c,s,m)=M(s)/12 * indicatrice(date0 &lt;= m &lt; date1)</x:v>
      </x:c>
      <x:c r="C12" s="16" t="str">
        <x:v>personnes</x:v>
      </x:c>
      <x:c r="D12" s="16" t="str">
        <x:v>reform_stock.py</x:v>
      </x:c>
      <x:c r="E12" s="16" t="str">
        <x:v>Actif provisoire</x:v>
      </x:c>
      <x:c r="F12" s="16" t="str">
        <x:v>Sorties explicites; calibration annuelle fixe</x:v>
      </x:c>
    </x:row>
    <x:row r="13" ht="76" customHeight="1">
      <x:c r="A13" s="15" t="str">
        <x:v>E08</x:v>
      </x:c>
      <x:c r="B13" s="15" t="str">
        <x:v>Stock_moyen(t)=somme_m Stocks(m)/12</x:v>
      </x:c>
      <x:c r="C13" s="15" t="str">
        <x:v>personnes</x:v>
      </x:c>
      <x:c r="D13" s="15" t="str">
        <x:v>reform_stock.py</x:v>
      </x:c>
      <x:c r="E13" s="15" t="str">
        <x:v>Actif; neutralite corrigee</x:v>
      </x:c>
      <x:c r="F13" s="15" t="str">
        <x:v>Une annee vide vaut zero sur douze mois</x:v>
      </x:c>
    </x:row>
    <x:row r="14" ht="76" customHeight="1">
      <x:c r="A14" s="16" t="str">
        <x:v>E09</x:v>
      </x:c>
      <x:c r="B14" s="16" t="str">
        <x:v>theta(t)=moyenne_c clip((AOD(c)-744)/24,0,1)</x:v>
      </x:c>
      <x:c r="C14" s="16" t="str">
        <x:v>sans unite</x:v>
      </x:c>
      <x:c r="D14" s="16" t="str">
        <x:v>reference_transition.py</x:v>
      </x:c>
      <x:c r="E14" s="16" t="str">
        <x:v>Actif provisoire</x:v>
      </x:c>
      <x:c r="F14" s="16" t="str">
        <x:v>Pas une probabilite observee de liquidation</x:v>
      </x:c>
    </x:row>
    <x:row r="15" ht="76" customHeight="1">
      <x:c r="A15" s="15" t="str">
        <x:v>E10</x:v>
      </x:c>
      <x:c r="B15" s="15" t="str">
        <x:v>Stock_ajuste(t)=theta(t)*Stock_moyen(t)</x:v>
      </x:c>
      <x:c r="C15" s="15" t="str">
        <x:v>personnes</x:v>
      </x:c>
      <x:c r="D15" s="15" t="str">
        <x:v>simulation.py</x:v>
      </x:c>
      <x:c r="E15" s="15" t="str">
        <x:v>Actif provisoire</x:v>
      </x:c>
      <x:c r="F15" s="15" t="str">
        <x:v>Brut et ajuste conserves; personnes-annees ajustees explicites</x:v>
      </x:c>
    </x:row>
    <x:row r="16" ht="76" customHeight="1">
      <x:c r="A16" s="16" t="str">
        <x:v>E11</x:v>
      </x:c>
      <x:c r="B16" s="16" t="str">
        <x:v>DeltaPA=beta*S ; DeltaE=alpha*DeltaPA ; DeltaU=DeltaPA-DeltaE</x:v>
      </x:c>
      <x:c r="C16" s="16" t="str">
        <x:v>personnes</x:v>
      </x:c>
      <x:c r="D16" s="16" t="str">
        <x:v>reform_stock.py</x:v>
      </x:c>
      <x:c r="E16" s="16" t="str">
        <x:v>Branche principale</x:v>
      </x:c>
      <x:c r="F16" s="16" t="str">
        <x:v>Coefficients statiques, non vitesse dynamique</x:v>
      </x:c>
    </x:row>
    <x:row r="17" ht="76" customHeight="1">
      <x:c r="A17" s="15" t="str">
        <x:v>E12</x:v>
      </x:c>
      <x:c r="B17" s="15" t="str">
        <x:v>DeltaE=rE*ZE+jU*ZU+aI*eI*ZI ; DeltaPA=rE*ZE+rU*ZU+aI*ZI</x:v>
      </x:c>
      <x:c r="C17" s="15" t="str">
        <x:v>personnes</x:v>
      </x:c>
      <x:c r="D17" s="15" t="str">
        <x:v>labour_behaviour.py</x:v>
      </x:c>
      <x:c r="E17" s="15" t="str">
        <x:v>Diagnostic parallele</x:v>
      </x:c>
      <x:c r="F17" s="15" t="str">
        <x:v>rE=1,rU=1,jU=0,aI=0,eI=0; Z provisoires 60-64 ans</x:v>
      </x:c>
    </x:row>
    <x:row r="18" ht="76" customHeight="1">
      <x:c r="A18" s="16" t="str">
        <x:v>E13</x:v>
      </x:c>
      <x:c r="B18" s="16" t="str">
        <x:v>DeltaU=DeltaPA-DeltaE</x:v>
      </x:c>
      <x:c r="C18" s="16" t="str">
        <x:v>personnes</x:v>
      </x:c>
      <x:c r="D18" s="16" t="str">
        <x:v>labour_behaviour.py</x:v>
      </x:c>
      <x:c r="E18" s="16" t="str">
        <x:v>Identite testee</x:v>
      </x:c>
      <x:c r="F18" s="16" t="str">
        <x:v>Pas une variation du taux de chomage</x:v>
      </x:c>
    </x:row>
    <x:row r="19" ht="76" customHeight="1">
      <x:c r="A19" s="15" t="str">
        <x:v>E14</x:v>
      </x:c>
      <x:c r="B19" s="15" t="str">
        <x:v>Scenario neutre ET ages identiques =&gt; tous les deltas = 0</x:v>
      </x:c>
      <x:c r="C19" s="15" t="str">
        <x:v>personnes</x:v>
      </x:c>
      <x:c r="D19" s="15" t="str">
        <x:v>simulation.py</x:v>
      </x:c>
      <x:c r="E19" s="15" t="str">
        <x:v>Corrige et teste</x:v>
      </x:c>
      <x:c r="F19" s="15" t="str">
        <x:v>Preset +1 et ages identiques refuses</x:v>
      </x:c>
    </x:row>
    <x:row r="20" ht="76" customHeight="1">
      <x:c r="A20" s="16" t="str">
        <x:v>E15</x:v>
      </x:c>
      <x:c r="B20" s="16" t="str">
        <x:v>Effectif_joint(a,s,k)=somme des motifs exclusifs DREES regroupes</x:v>
      </x:c>
      <x:c r="C20" s="16" t="str">
        <x:v>personnes</x:v>
      </x:c>
      <x:c r="D20" s="16" t="str">
        <x:v>scripts/audit_sources.py</x:v>
      </x:c>
      <x:c r="E20" s="16" t="str">
        <x:v>Observe regroupe; NON actif</x:v>
      </x:c>
      <x:c r="F20" s="16" t="str">
        <x:v>CNAV2024 CC0015 Flux Taux Ensemble; &gt;70 conserve</x:v>
      </x:c>
    </x:row>
    <x:row r="21" ht="76" customHeight="1">
      <x:c r="A21" s="15" t="str">
        <x:v>E16</x:v>
      </x:c>
      <x:c r="B21" s="15" t="str">
        <x:v>DeltaPIB/PIB0=rho*DeltaE/E0</x:v>
      </x:c>
      <x:c r="C21" s="15" t="str">
        <x:v>proportion</x:v>
      </x:c>
      <x:c r="D21" s="15" t="str">
        <x:v>macro.py a developper</x:v>
      </x:c>
      <x:c r="E21" s="15" t="str">
        <x:v>Prevu au cahier</x:v>
      </x:c>
      <x:c r="F21" s="15" t="str">
        <x:v>Aucun PIB calcule par ce lot</x:v>
      </x:c>
    </x:row>
    <x:row r="22" ht="76" customHeight="1">
      <x:c r="A22" s="16" t="str">
        <x:v>E17</x:v>
      </x:c>
      <x:c r="B22" s="16" t="str">
        <x:v>DeltaSoldeAPU=DeltaSoldeRet+0.53*DeltaPIB-DeltaCotRet-DeltaAutresPrestations</x:v>
      </x:c>
      <x:c r="C22" s="16" t="str">
        <x:v>euros coherents</x:v>
      </x:c>
      <x:c r="D22" s="16" t="str">
        <x:v>public_finance.py a developper</x:v>
      </x:c>
      <x:c r="E22" s="16" t="str">
        <x:v>Prevu au cahier</x:v>
      </x:c>
      <x:c r="F22" s="16" t="str">
        <x:v>Pensions, cotisations, nouveaux droits et couts a definir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24" t="str">
        <x:v>RETRAITES | AUDIT DES SOURCES ET CORRECTIF D</x:v>
      </x:c>
      <x:c r="B1" s="24"/>
      <x:c r="C1" s="24"/>
      <x:c r="D1" s="24"/>
      <x:c r="E1" s="24"/>
      <x:c r="F1" s="24"/>
      <x:c r="G1" s="24"/>
      <x:c r="H1" s="24"/>
    </x:row>
    <x:row r="2" ht="23" customHeight="1">
      <x:c r="A2" s="24"/>
      <x:c r="B2" s="24"/>
      <x:c r="C2" s="24"/>
      <x:c r="D2" s="24"/>
      <x:c r="E2" s="24"/>
      <x:c r="F2" s="24"/>
      <x:c r="G2" s="24"/>
      <x:c r="H2" s="24"/>
    </x:row>
    <x:row r="3" ht="23" customHeight="1">
      <x:c r="A3" s="25" t="str">
        <x:v>8 octobre 2026 • Audit des fichiers fournis, pas validation économique finale. Les 9 classeurs et les 13 Parquet restent inchangés.</x:v>
      </x:c>
      <x:c r="B3" s="25"/>
      <x:c r="C3" s="25"/>
      <x:c r="D3" s="25"/>
      <x:c r="E3" s="25"/>
      <x:c r="F3" s="25"/>
      <x:c r="G3" s="25"/>
      <x:c r="H3" s="25"/>
    </x:row>
    <x:row r="4" ht="23" customHeight="1">
      <x:c r="A4" s="25"/>
      <x:c r="B4" s="25"/>
      <x:c r="C4" s="25"/>
      <x:c r="D4" s="25"/>
      <x:c r="E4" s="25"/>
      <x:c r="F4" s="25"/>
      <x:c r="G4" s="25"/>
      <x:c r="H4" s="25"/>
    </x:row>
    <x:row r="5" ht="23" customHeight="1">
      <x:c r="A5" s="21"/>
      <x:c r="B5" s="21"/>
      <x:c r="C5" s="21"/>
      <x:c r="D5" s="21"/>
      <x:c r="E5" s="21"/>
      <x:c r="F5" s="21"/>
      <x:c r="G5" s="21"/>
      <x:c r="H5" s="21"/>
    </x:row>
    <x:row r="6" ht="23" customHeight="1">
      <x:c r="A6" s="27" t="str">
        <x:v>CLASSEURS</x:v>
      </x:c>
      <x:c r="B6" s="27"/>
      <x:c r="C6" s="27" t="str">
        <x:v>TABLES PARQUET</x:v>
      </x:c>
      <x:c r="D6" s="27"/>
      <x:c r="E6" s="27" t="str">
        <x:v>COMPARAISONS</x:v>
      </x:c>
      <x:c r="F6" s="27"/>
      <x:c r="G6" s="27" t="str">
        <x:v>ÉCARTS HORS TOL.</x:v>
      </x:c>
      <x:c r="H6" s="27"/>
    </x:row>
    <x:row r="7" ht="23" customHeight="1">
      <x:c r="A7" s="32" t="n">
        <x:f>COUNTA(Inventaire!B6:B14)</x:f>
        <x:v>9</x:v>
      </x:c>
      <x:c r="B7" s="32"/>
      <x:c r="C7" s="32" t="n">
        <x:f>COUNTA('Traçabilite'!A6:A18)</x:f>
        <x:v>13</x:v>
      </x:c>
      <x:c r="D7" s="32"/>
      <x:c r="E7" s="32" t="n">
        <x:f>SUM(Controles!E6:E85)</x:f>
        <x:v>57091</x:v>
      </x:c>
      <x:c r="F7" s="32"/>
      <x:c r="G7" s="32" t="n">
        <x:f>SUM(Controles!F6:F85)</x:f>
        <x:v>0</x:v>
      </x:c>
      <x:c r="H7" s="32"/>
    </x:row>
    <x:row r="8" ht="23" customHeight="1">
      <x:c r="A8" s="32"/>
      <x:c r="B8" s="32"/>
      <x:c r="C8" s="32"/>
      <x:c r="D8" s="32"/>
      <x:c r="E8" s="32"/>
      <x:c r="F8" s="32"/>
      <x:c r="G8" s="32"/>
      <x:c r="H8" s="32"/>
    </x:row>
    <x:row r="9" ht="23" customHeight="1">
      <x:c r="A9" s="21"/>
      <x:c r="B9" s="21"/>
      <x:c r="C9" s="21"/>
      <x:c r="D9" s="21"/>
      <x:c r="E9" s="21"/>
      <x:c r="F9" s="21"/>
      <x:c r="G9" s="21"/>
      <x:c r="H9" s="21"/>
    </x:row>
    <x:row r="10" ht="23" customHeight="1">
      <x:c r="A10" s="7" t="str">
        <x:v>POINT CLÉ : LES DONNÉES CROISÉES CNAV EXISTENT DANS LE FICHIER DREES</x:v>
      </x:c>
      <x:c r="B10" s="7"/>
      <x:c r="C10" s="7"/>
      <x:c r="D10" s="7"/>
      <x:c r="E10" s="7"/>
      <x:c r="F10" s="7"/>
      <x:c r="G10" s="7"/>
      <x:c r="H10" s="7"/>
    </x:row>
    <x:row r="11" ht="23" customHeight="1">
      <x:c r="A11" s="25" t="str">
        <x:v>H-Conditions_liq permet de croiser âge, sexe et motif de liquidation en 2024. Cette extraction est livrée à part : elle ne remplace pas encore la calibration active et ne mesure pas le statut juste avant retraite.</x:v>
      </x:c>
      <x:c r="B11" s="25"/>
      <x:c r="C11" s="25"/>
      <x:c r="D11" s="25"/>
      <x:c r="E11" s="25"/>
      <x:c r="F11" s="25"/>
      <x:c r="G11" s="25"/>
      <x:c r="H11" s="25"/>
    </x:row>
    <x:row r="12" ht="23" customHeight="1">
      <x:c r="A12" s="25"/>
      <x:c r="B12" s="25"/>
      <x:c r="C12" s="25"/>
      <x:c r="D12" s="25"/>
      <x:c r="E12" s="25"/>
      <x:c r="F12" s="25"/>
      <x:c r="G12" s="25"/>
      <x:c r="H12" s="25"/>
    </x:row>
    <x:row r="13" ht="23" customHeight="1">
      <x:c r="A13" s="25"/>
      <x:c r="B13" s="25"/>
      <x:c r="C13" s="25"/>
      <x:c r="D13" s="25"/>
      <x:c r="E13" s="25"/>
      <x:c r="F13" s="25"/>
      <x:c r="G13" s="25"/>
      <x:c r="H13" s="25"/>
    </x:row>
    <x:row r="14" ht="23" customHeight="1">
      <x:c r="A14" s="21"/>
      <x:c r="B14" s="21"/>
      <x:c r="C14" s="21"/>
      <x:c r="D14" s="21"/>
      <x:c r="E14" s="21"/>
      <x:c r="F14" s="21"/>
      <x:c r="G14" s="21"/>
      <x:c r="H14" s="21"/>
    </x:row>
    <x:row r="15" ht="23" customHeight="1">
      <x:c r="A15" s="33" t="str">
        <x:v>CNAV 2024 : droit commun</x:v>
      </x:c>
      <x:c r="B15" s="33"/>
      <x:c r="C15" s="33"/>
      <x:c r="D15" s="33"/>
      <x:c r="E15" s="33" t="str">
        <x:v>Femmes + hommes</x:v>
      </x:c>
      <x:c r="F15" s="33"/>
      <x:c r="G15" s="33" t="str">
        <x:v>Nature</x:v>
      </x:c>
      <x:c r="H15" s="33"/>
    </x:row>
    <x:row r="16" ht="23" customHeight="1">
      <x:c r="A16" s="21" t="str">
        <x:v>Liquidations à 64 ans</x:v>
      </x:c>
      <x:c r="B16" s="21"/>
      <x:c r="C16" s="21"/>
      <x:c r="D16" s="21"/>
      <x:c r="E16" s="34" t="n">
        <x:f>SUMIFS(CNAV_croisement!$E$6:$E$149,CNAV_croisement!$B$6:$B$149,"F",CNAV_croisement!$C$6:$C$149,"64",CNAV_croisement!$D$6:$D$149,"droit_commun")+SUMIFS(CNAV_croisement!$E$6:$E$149,CNAV_croisement!$B$6:$B$149,"H",CNAV_croisement!$C$6:$C$149,"64",CNAV_croisement!$D$6:$D$149,"droit_commun")</x:f>
        <x:v>46606</x:v>
      </x:c>
      <x:c r="F16" s="34"/>
      <x:c r="G16" s="21" t="str">
        <x:v>Historique observé</x:v>
      </x:c>
      <x:c r="H16" s="21"/>
    </x:row>
    <x:row r="17" ht="23" customHeight="1">
      <x:c r="A17" s="21" t="str">
        <x:v>Liquidations à 62, 63 ou 64 ans</x:v>
      </x:c>
      <x:c r="B17" s="21"/>
      <x:c r="C17" s="21"/>
      <x:c r="D17" s="21"/>
      <x:c r="E17" s="34" t="n">
        <x:f>SUMIFS(CNAV_croisement!$E$6:$E$149,CNAV_croisement!$B$6:$B$149,"F",CNAV_croisement!$C$6:$C$149,"62",CNAV_croisement!$D$6:$D$149,"droit_commun")+SUMIFS(CNAV_croisement!$E$6:$E$149,CNAV_croisement!$B$6:$B$149,"F",CNAV_croisement!$C$6:$C$149,"63",CNAV_croisement!$D$6:$D$149,"droit_commun")+SUMIFS(CNAV_croisement!$E$6:$E$149,CNAV_croisement!$B$6:$B$149,"F",CNAV_croisement!$C$6:$C$149,"64",CNAV_croisement!$D$6:$D$149,"droit_commun")+SUMIFS(CNAV_croisement!$E$6:$E$149,CNAV_croisement!$B$6:$B$149,"H",CNAV_croisement!$C$6:$C$149,"62",CNAV_croisement!$D$6:$D$149,"droit_commun")+SUMIFS(CNAV_croisement!$E$6:$E$149,CNAV_croisement!$B$6:$B$149,"H",CNAV_croisement!$C$6:$C$149,"63",CNAV_croisement!$D$6:$D$149,"droit_commun")+SUMIFS(CNAV_croisement!$E$6:$E$149,CNAV_croisement!$B$6:$B$149,"H",CNAV_croisement!$C$6:$C$149,"64",CNAV_croisement!$D$6:$D$149,"droit_commun")</x:f>
        <x:v>220814</x:v>
      </x:c>
      <x:c r="F17" s="34"/>
      <x:c r="G17" s="21" t="str">
        <x:v>Historique observé</x:v>
      </x:c>
      <x:c r="H17" s="21"/>
    </x:row>
    <x:row r="18" ht="23" customHeight="1">
      <x:c r="A18" s="21"/>
      <x:c r="B18" s="21"/>
      <x:c r="C18" s="21"/>
      <x:c r="D18" s="21"/>
      <x:c r="E18" s="21"/>
      <x:c r="F18" s="21"/>
      <x:c r="G18" s="21"/>
      <x:c r="H18" s="21"/>
    </x:row>
    <x:row r="19" ht="23" customHeight="1">
      <x:c r="A19" s="36" t="str">
        <x:v>Ces effectifs ne sont pas une prévision d’emplois : le calendrier futur, le contrefactuel, les groupes et les comportements doivent encore être définis.</x:v>
      </x:c>
      <x:c r="B19" s="36"/>
      <x:c r="C19" s="36"/>
      <x:c r="D19" s="36"/>
      <x:c r="E19" s="36"/>
      <x:c r="F19" s="36"/>
      <x:c r="G19" s="36"/>
      <x:c r="H19" s="36"/>
    </x:row>
    <x:row r="20" ht="23" customHeight="1">
      <x:c r="A20" s="36"/>
      <x:c r="B20" s="36"/>
      <x:c r="C20" s="36"/>
      <x:c r="D20" s="36"/>
      <x:c r="E20" s="36"/>
      <x:c r="F20" s="36"/>
      <x:c r="G20" s="36"/>
      <x:c r="H20" s="36"/>
    </x:row>
    <x:row r="21" ht="23" customHeight="1">
      <x:c r="A21" s="21"/>
      <x:c r="B21" s="21"/>
      <x:c r="C21" s="21"/>
      <x:c r="D21" s="21"/>
      <x:c r="E21" s="21"/>
      <x:c r="F21" s="21"/>
      <x:c r="G21" s="21"/>
      <x:c r="H21" s="21"/>
    </x:row>
    <x:row r="22" ht="23" customHeight="1">
      <x:c r="A22" s="7" t="str">
        <x:v>CORRECTIONS LIVRÉES</x:v>
      </x:c>
      <x:c r="B22" s="7"/>
      <x:c r="C22" s="7"/>
      <x:c r="D22" s="7"/>
      <x:c r="E22" s="7"/>
      <x:c r="F22" s="7"/>
      <x:c r="G22" s="7"/>
      <x:c r="H22" s="7"/>
    </x:row>
    <x:row r="23" ht="30" customHeight="1">
      <x:c r="A23" s="25" t="str">
        <x:v>Statu quo : 45 années de résultats nuls et branche F/H conservée.</x:v>
      </x:c>
      <x:c r="B23" s="25"/>
      <x:c r="C23" s="25"/>
      <x:c r="D23" s="25"/>
      <x:c r="E23" s="25"/>
      <x:c r="F23" s="25"/>
      <x:c r="G23" s="25"/>
      <x:c r="H23" s="25"/>
    </x:row>
    <x:row r="24" ht="30" customHeight="1">
      <x:c r="A24" s="25" t="str">
        <x:v>Paramètres incohérents refusés ; pas de colonnes masquées dans la synthèse.</x:v>
      </x:c>
      <x:c r="B24" s="25"/>
      <x:c r="C24" s="25"/>
      <x:c r="D24" s="25"/>
      <x:c r="E24" s="25"/>
      <x:c r="F24" s="25"/>
      <x:c r="G24" s="25"/>
      <x:c r="H24" s="25"/>
    </x:row>
    <x:row r="25" ht="30" customHeight="1">
      <x:c r="A25" s="25" t="str">
        <x:v>Benchmark positif et diagnostic comportemental conservés (non-régression).</x:v>
      </x:c>
      <x:c r="B25" s="25"/>
      <x:c r="C25" s="25"/>
      <x:c r="D25" s="25"/>
      <x:c r="E25" s="25"/>
      <x:c r="F25" s="25"/>
      <x:c r="G25" s="25"/>
      <x:c r="H25" s="25"/>
    </x:row>
    <x:row r="26" ht="30" customHeight="1">
      <x:c r="A26" s="25" t="str">
        <x:v>164 tests rejoués avec adaptateur de lecture ; validation native PyArrow à refaire sur la VM.</x:v>
      </x:c>
      <x:c r="B26" s="25"/>
      <x:c r="C26" s="25"/>
      <x:c r="D26" s="25"/>
      <x:c r="E26" s="25"/>
      <x:c r="F26" s="25"/>
      <x:c r="G26" s="25"/>
      <x:c r="H26" s="25"/>
    </x:row>
    <x:row r="27" ht="23" customHeight="1">
      <x:c r="A27" s="21"/>
      <x:c r="B27" s="21"/>
      <x:c r="C27" s="21"/>
      <x:c r="D27" s="21"/>
      <x:c r="E27" s="21"/>
      <x:c r="F27" s="21"/>
      <x:c r="G27" s="21"/>
      <x:c r="H27" s="21"/>
    </x:row>
    <x:row r="28" ht="23" customHeight="1">
      <x:c r="A28" s="7" t="str">
        <x:v>ALERTES À CONSERVER VISIBLES</x:v>
      </x:c>
      <x:c r="B28" s="7"/>
      <x:c r="C28" s="7"/>
      <x:c r="D28" s="7"/>
      <x:c r="E28" s="7"/>
      <x:c r="F28" s="7"/>
      <x:c r="G28" s="7"/>
      <x:c r="H28" s="7"/>
    </x:row>
    <x:row r="29" ht="30" customHeight="1">
      <x:c r="A29" s="25" t="str">
        <x:v>ECRT2023-E2 absent ; taux annuels INSEE 2023 non vérifiés à la source.</x:v>
      </x:c>
      <x:c r="B29" s="25"/>
      <x:c r="C29" s="25"/>
      <x:c r="D29" s="25"/>
      <x:c r="E29" s="25"/>
      <x:c r="F29" s="25"/>
      <x:c r="G29" s="25"/>
      <x:c r="H29" s="25"/>
    </x:row>
    <x:row r="30" ht="30" customHeight="1">
      <x:c r="A30" s="25" t="str">
        <x:v>Classe &gt;70 omise dans le modèle ; proxy pré-retraite non conditionnel aux liquidants.</x:v>
      </x:c>
      <x:c r="B30" s="25"/>
      <x:c r="C30" s="25"/>
      <x:c r="D30" s="25"/>
      <x:c r="E30" s="25"/>
      <x:c r="F30" s="25"/>
      <x:c r="G30" s="25"/>
      <x:c r="H30" s="25"/>
    </x:row>
    <x:row r="31" ht="30" customHeight="1">
      <x:c r="A31" s="25" t="str">
        <x:v>Fig 2.4 : métadonnées incohérentes ; maturité juridique et date d’effet à réexaminer.</x:v>
      </x:c>
      <x:c r="B31" s="25"/>
      <x:c r="C31" s="25"/>
      <x:c r="D31" s="25"/>
      <x:c r="E31" s="25"/>
      <x:c r="F31" s="25"/>
      <x:c r="G31" s="25"/>
      <x:c r="H31" s="25"/>
    </x:row>
    <x:row r="32" ht="23" customHeight="1">
      <x:c r="A32" s="21"/>
      <x:c r="B32" s="21"/>
      <x:c r="C32" s="21"/>
      <x:c r="D32" s="21"/>
      <x:c r="E32" s="21"/>
      <x:c r="F32" s="21"/>
      <x:c r="G32" s="21"/>
      <x:c r="H32" s="21"/>
    </x:row>
    <x:row r="33" ht="23" customHeight="1">
      <x:c r="A33" s="21"/>
      <x:c r="B33" s="21"/>
      <x:c r="C33" s="21"/>
      <x:c r="D33" s="21"/>
      <x:c r="E33" s="21"/>
      <x:c r="F33" s="21"/>
      <x:c r="G33" s="21"/>
      <x:c r="H33" s="21"/>
    </x:row>
    <x:row r="34" ht="30" customHeight="1">
      <x:c r="A34" s="25" t="str">
        <x:v>Reproduction : python scripts/audit_sources.py — détail des cellules dans data/audit/cellules.csv.</x:v>
      </x:c>
      <x:c r="B34" s="25"/>
      <x:c r="C34" s="25"/>
      <x:c r="D34" s="25"/>
      <x:c r="E34" s="25"/>
      <x:c r="F34" s="25"/>
      <x:c r="G34" s="25"/>
      <x:c r="H34" s="25"/>
    </x:row>
    <x:row r="35" ht="23" customHeight="1">
      <x:c r="A35" s="21"/>
      <x:c r="B35" s="21"/>
      <x:c r="C35" s="21"/>
      <x:c r="D35" s="21"/>
      <x:c r="E35" s="21"/>
      <x:c r="F35" s="21"/>
      <x:c r="G35" s="21"/>
      <x:c r="H35" s="21"/>
    </x:row>
    <x:row r="36" ht="30" customHeight="1">
      <x:c r="A36" s="25" t="str">
        <x:v>Ce classeur est un instantané daté ; les originaux sont préservés. Voir RAPPORT_AUDIT_D.md.</x:v>
      </x:c>
      <x:c r="B36" s="25"/>
      <x:c r="C36" s="25"/>
      <x:c r="D36" s="25"/>
      <x:c r="E36" s="25"/>
      <x:c r="F36" s="25"/>
      <x:c r="G36" s="25"/>
      <x:c r="H36" s="25"/>
    </x:row>
    <x:row r="37" ht="23" customHeight="1">
      <x:c r="A37" s="21"/>
      <x:c r="B37" s="21"/>
      <x:c r="C37" s="21"/>
      <x:c r="D37" s="21"/>
      <x:c r="E37" s="21"/>
      <x:c r="F37" s="21"/>
      <x:c r="G37" s="21"/>
      <x:c r="H37" s="21"/>
    </x:row>
  </x:sheetData>
  <x:mergeCells>
    <x:mergeCell ref="A1:H2"/>
    <x:mergeCell ref="A3:H4"/>
    <x:mergeCell ref="A6:B6"/>
    <x:mergeCell ref="C6:D6"/>
    <x:mergeCell ref="E6:F6"/>
    <x:mergeCell ref="G6:H6"/>
    <x:mergeCell ref="A7:B8"/>
    <x:mergeCell ref="C7:D8"/>
    <x:mergeCell ref="E7:F8"/>
    <x:mergeCell ref="G7:H8"/>
    <x:mergeCell ref="A10:H10"/>
    <x:mergeCell ref="A11:H13"/>
    <x:mergeCell ref="A15:D15"/>
    <x:mergeCell ref="E15:F15"/>
    <x:mergeCell ref="G15:H15"/>
    <x:mergeCell ref="A16:D16"/>
    <x:mergeCell ref="E16:F16"/>
    <x:mergeCell ref="G16:H16"/>
    <x:mergeCell ref="A17:D17"/>
    <x:mergeCell ref="E17:F17"/>
    <x:mergeCell ref="G17:H17"/>
    <x:mergeCell ref="A19:H20"/>
    <x:mergeCell ref="A22:H22"/>
    <x:mergeCell ref="A28:H28"/>
    <x:mergeCell ref="A23:H23"/>
    <x:mergeCell ref="A24:H24"/>
    <x:mergeCell ref="A25:H25"/>
    <x:mergeCell ref="A26:H26"/>
    <x:mergeCell ref="A29:H29"/>
    <x:mergeCell ref="A30:H30"/>
    <x:mergeCell ref="A31:H31"/>
    <x:mergeCell ref="A34:H34"/>
    <x:mergeCell ref="A36:H36"/>
  </x:mergeCells>
  <x:pageMargins left="0.7" right="0.7" top="0.75" bottom="0.75" header="0.3" footer="0.3"/>
</x:worksheet>
</file>